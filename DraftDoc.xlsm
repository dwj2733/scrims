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bs\scrims\scrims\"/>
    </mc:Choice>
  </mc:AlternateContent>
  <xr:revisionPtr revIDLastSave="0" documentId="13_ncr:1_{106D1D3F-87D8-4D73-8D0D-F2AAB8899239}" xr6:coauthVersionLast="46" xr6:coauthVersionMax="46" xr10:uidLastSave="{00000000-0000-0000-0000-000000000000}"/>
  <bookViews>
    <workbookView xWindow="-120" yWindow="-120" windowWidth="29040" windowHeight="16440" firstSheet="1" activeTab="1" xr2:uid="{2607136A-4400-4BDD-BD2A-31E7022E7A0C}"/>
  </bookViews>
  <sheets>
    <sheet name="Draft" sheetId="1" r:id="rId1"/>
    <sheet name="Data" sheetId="4" r:id="rId2"/>
    <sheet name="model data tables" sheetId="3" r:id="rId3"/>
    <sheet name="Blake" sheetId="24" r:id="rId4"/>
    <sheet name="Brendan" sheetId="5" r:id="rId5"/>
    <sheet name="Dan" sheetId="26" r:id="rId6"/>
    <sheet name="Darius" sheetId="7" r:id="rId7"/>
    <sheet name="David" sheetId="6" r:id="rId8"/>
    <sheet name="Dean" sheetId="8" r:id="rId9"/>
    <sheet name="ErikO" sheetId="9" r:id="rId10"/>
    <sheet name="ErikY" sheetId="29" r:id="rId11"/>
    <sheet name="Fabian" sheetId="10" r:id="rId12"/>
    <sheet name="Gabby" sheetId="23" r:id="rId13"/>
    <sheet name="Garrett" sheetId="31" r:id="rId14"/>
    <sheet name="Ian" sheetId="11" r:id="rId15"/>
    <sheet name="Iris" sheetId="12" r:id="rId16"/>
    <sheet name="Jar" sheetId="27" r:id="rId17"/>
    <sheet name="Manny" sheetId="13" r:id="rId18"/>
    <sheet name="Miles" sheetId="14" r:id="rId19"/>
    <sheet name="Mimi" sheetId="15" r:id="rId20"/>
    <sheet name="Peter" sheetId="16" r:id="rId21"/>
    <sheet name="PsychoCarrot" sheetId="25" r:id="rId22"/>
    <sheet name="Rhys" sheetId="17" r:id="rId23"/>
    <sheet name="Sam" sheetId="18" r:id="rId24"/>
    <sheet name="Sean" sheetId="19" r:id="rId25"/>
    <sheet name="Stanley" sheetId="20" r:id="rId26"/>
    <sheet name="Steven" sheetId="30" r:id="rId27"/>
    <sheet name="Vernon" sheetId="21" r:id="rId28"/>
    <sheet name="Zach" sheetId="22" r:id="rId29"/>
  </sheets>
  <definedNames>
    <definedName name="_xlnm._FilterDatabase" localSheetId="1" hidden="1">Data!$A$1:$P$20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4" l="1"/>
  <c r="J14" i="4"/>
  <c r="I14" i="4"/>
  <c r="G14" i="4"/>
  <c r="F14" i="4"/>
  <c r="E14" i="4"/>
  <c r="K12" i="4"/>
  <c r="J12" i="4"/>
  <c r="I12" i="4"/>
  <c r="G12" i="4"/>
  <c r="F12" i="4"/>
  <c r="E12" i="4"/>
  <c r="P12" i="4" s="1"/>
  <c r="K16" i="4"/>
  <c r="J16" i="4"/>
  <c r="I16" i="4"/>
  <c r="G16" i="4"/>
  <c r="F16" i="4"/>
  <c r="E16" i="4"/>
  <c r="N16" i="4" s="1"/>
  <c r="M14" i="4"/>
  <c r="P14" i="4"/>
  <c r="M12" i="4"/>
  <c r="L12" i="4"/>
  <c r="L16" i="4"/>
  <c r="K6" i="4"/>
  <c r="J6" i="4"/>
  <c r="I6" i="4"/>
  <c r="G6" i="4"/>
  <c r="F6" i="4"/>
  <c r="E6" i="4"/>
  <c r="E9" i="4"/>
  <c r="K19" i="4"/>
  <c r="J19" i="4"/>
  <c r="I19" i="4"/>
  <c r="G19" i="4"/>
  <c r="F19" i="4"/>
  <c r="E19" i="4"/>
  <c r="K21" i="4"/>
  <c r="I21" i="4"/>
  <c r="J21" i="4"/>
  <c r="G21" i="4"/>
  <c r="F21" i="4"/>
  <c r="E21" i="4"/>
  <c r="K26" i="4"/>
  <c r="J26" i="4"/>
  <c r="I26" i="4"/>
  <c r="E26" i="4"/>
  <c r="G26" i="4"/>
  <c r="F26" i="4"/>
  <c r="K20" i="4"/>
  <c r="J20" i="4"/>
  <c r="L20" i="4" s="1"/>
  <c r="I20" i="4"/>
  <c r="G20" i="4"/>
  <c r="F20" i="4"/>
  <c r="E20" i="4"/>
  <c r="P20" i="4" s="1"/>
  <c r="K23" i="4"/>
  <c r="J23" i="4"/>
  <c r="M23" i="4" s="1"/>
  <c r="I23" i="4"/>
  <c r="G23" i="4"/>
  <c r="F23" i="4"/>
  <c r="E23" i="4"/>
  <c r="N23" i="4" s="1"/>
  <c r="K13" i="4"/>
  <c r="J13" i="4"/>
  <c r="I13" i="4"/>
  <c r="G13" i="4"/>
  <c r="F13" i="4"/>
  <c r="E13" i="4"/>
  <c r="K25" i="4"/>
  <c r="J25" i="4"/>
  <c r="I25" i="4"/>
  <c r="G25" i="4"/>
  <c r="F25" i="4"/>
  <c r="E25" i="4"/>
  <c r="K4" i="4"/>
  <c r="J4" i="4"/>
  <c r="I4" i="4"/>
  <c r="G4" i="4"/>
  <c r="F4" i="4"/>
  <c r="E4" i="4"/>
  <c r="K27" i="4"/>
  <c r="J27" i="4"/>
  <c r="I27" i="4"/>
  <c r="G27" i="4"/>
  <c r="F27" i="4"/>
  <c r="E27" i="4"/>
  <c r="K2" i="4"/>
  <c r="J2" i="4"/>
  <c r="I2" i="4"/>
  <c r="G2" i="4"/>
  <c r="F2" i="4"/>
  <c r="E2" i="4"/>
  <c r="K8" i="4"/>
  <c r="J8" i="4"/>
  <c r="I8" i="4"/>
  <c r="G8" i="4"/>
  <c r="F8" i="4"/>
  <c r="E8" i="4"/>
  <c r="K18" i="4"/>
  <c r="J18" i="4"/>
  <c r="I18" i="4"/>
  <c r="G18" i="4"/>
  <c r="F18" i="4"/>
  <c r="E18" i="4"/>
  <c r="K10" i="4"/>
  <c r="J10" i="4"/>
  <c r="I10" i="4"/>
  <c r="G10" i="4"/>
  <c r="F10" i="4"/>
  <c r="E10" i="4"/>
  <c r="K9" i="4"/>
  <c r="J9" i="4"/>
  <c r="I9" i="4"/>
  <c r="G9" i="4"/>
  <c r="F9" i="4"/>
  <c r="K11" i="4"/>
  <c r="J11" i="4"/>
  <c r="I11" i="4"/>
  <c r="G11" i="4"/>
  <c r="F11" i="4"/>
  <c r="E11" i="4"/>
  <c r="K17" i="4"/>
  <c r="J17" i="4"/>
  <c r="I17" i="4"/>
  <c r="G17" i="4"/>
  <c r="F17" i="4"/>
  <c r="E17" i="4"/>
  <c r="K5" i="4"/>
  <c r="J5" i="4"/>
  <c r="I5" i="4"/>
  <c r="G5" i="4"/>
  <c r="F5" i="4"/>
  <c r="E5" i="4"/>
  <c r="K24" i="4"/>
  <c r="J24" i="4"/>
  <c r="I24" i="4"/>
  <c r="G24" i="4"/>
  <c r="F24" i="4"/>
  <c r="E24" i="4"/>
  <c r="K7" i="4"/>
  <c r="J7" i="4"/>
  <c r="I7" i="4"/>
  <c r="G7" i="4"/>
  <c r="F7" i="4"/>
  <c r="E7" i="4"/>
  <c r="K15" i="4"/>
  <c r="J15" i="4"/>
  <c r="I15" i="4"/>
  <c r="G15" i="4"/>
  <c r="F15" i="4"/>
  <c r="E15" i="4"/>
  <c r="O15" i="4" s="1"/>
  <c r="K3" i="4"/>
  <c r="J3" i="4"/>
  <c r="I3" i="4"/>
  <c r="G3" i="4"/>
  <c r="F3" i="4"/>
  <c r="E3" i="4"/>
  <c r="K22" i="4"/>
  <c r="J22" i="4"/>
  <c r="I22" i="4"/>
  <c r="G22" i="4"/>
  <c r="F22" i="4"/>
  <c r="E22" i="4"/>
  <c r="L14" i="4" l="1"/>
  <c r="M16" i="4"/>
  <c r="H16" i="4"/>
  <c r="C16" i="4"/>
  <c r="B16" i="4" s="1"/>
  <c r="O16" i="4"/>
  <c r="P16" i="4"/>
  <c r="N14" i="4"/>
  <c r="O14" i="4"/>
  <c r="C14" i="4"/>
  <c r="B14" i="4" s="1"/>
  <c r="H14" i="4"/>
  <c r="O12" i="4"/>
  <c r="N12" i="4"/>
  <c r="C12" i="4"/>
  <c r="B12" i="4" s="1"/>
  <c r="H12" i="4"/>
  <c r="C20" i="4"/>
  <c r="B20" i="4" s="1"/>
  <c r="C23" i="4"/>
  <c r="P19" i="4"/>
  <c r="O7" i="4"/>
  <c r="L6" i="4"/>
  <c r="N6" i="4"/>
  <c r="O6" i="4"/>
  <c r="M6" i="4"/>
  <c r="C6" i="4" s="1"/>
  <c r="P6" i="4"/>
  <c r="H6" i="4"/>
  <c r="H21" i="4"/>
  <c r="M26" i="4"/>
  <c r="L26" i="4"/>
  <c r="O26" i="4"/>
  <c r="O22" i="4"/>
  <c r="L19" i="4"/>
  <c r="N21" i="4"/>
  <c r="P21" i="4"/>
  <c r="O21" i="4"/>
  <c r="M19" i="4"/>
  <c r="C19" i="4" s="1"/>
  <c r="N19" i="4"/>
  <c r="O19" i="4"/>
  <c r="H19" i="4"/>
  <c r="N26" i="4"/>
  <c r="P26" i="4"/>
  <c r="H26" i="4"/>
  <c r="M21" i="4"/>
  <c r="L21" i="4"/>
  <c r="N25" i="4"/>
  <c r="L25" i="4"/>
  <c r="P17" i="4"/>
  <c r="N11" i="4"/>
  <c r="L11" i="4"/>
  <c r="L15" i="4"/>
  <c r="L2" i="4"/>
  <c r="P25" i="4"/>
  <c r="B23" i="4"/>
  <c r="H23" i="4"/>
  <c r="L23" i="4"/>
  <c r="H25" i="4"/>
  <c r="M13" i="4"/>
  <c r="C13" i="4" s="1"/>
  <c r="L17" i="4"/>
  <c r="P11" i="4"/>
  <c r="P13" i="4"/>
  <c r="L13" i="4"/>
  <c r="P23" i="4"/>
  <c r="H15" i="4"/>
  <c r="H11" i="4"/>
  <c r="M15" i="4"/>
  <c r="P15" i="4"/>
  <c r="L10" i="4"/>
  <c r="M25" i="4"/>
  <c r="C25" i="4" s="1"/>
  <c r="B25" i="4" s="1"/>
  <c r="O25" i="4"/>
  <c r="M3" i="4"/>
  <c r="H5" i="4"/>
  <c r="M11" i="4"/>
  <c r="C11" i="4" s="1"/>
  <c r="O11" i="4"/>
  <c r="M2" i="4"/>
  <c r="M17" i="4"/>
  <c r="P9" i="4"/>
  <c r="P18" i="4"/>
  <c r="P2" i="4"/>
  <c r="O23" i="4"/>
  <c r="M20" i="4"/>
  <c r="P24" i="4"/>
  <c r="M24" i="4"/>
  <c r="L24" i="4"/>
  <c r="O2" i="4"/>
  <c r="O13" i="4"/>
  <c r="O20" i="4"/>
  <c r="O27" i="4"/>
  <c r="L3" i="4"/>
  <c r="N24" i="4"/>
  <c r="N17" i="4"/>
  <c r="N2" i="4"/>
  <c r="N13" i="4"/>
  <c r="N20" i="4"/>
  <c r="N15" i="4"/>
  <c r="H7" i="4"/>
  <c r="O24" i="4"/>
  <c r="O17" i="4"/>
  <c r="H24" i="4"/>
  <c r="H17" i="4"/>
  <c r="H2" i="4"/>
  <c r="H13" i="4"/>
  <c r="H20" i="4"/>
  <c r="L7" i="4"/>
  <c r="M7" i="4"/>
  <c r="P7" i="4"/>
  <c r="N7" i="4"/>
  <c r="O5" i="4"/>
  <c r="P5" i="4"/>
  <c r="N5" i="4"/>
  <c r="L5" i="4"/>
  <c r="M5" i="4"/>
  <c r="C5" i="4" s="1"/>
  <c r="P3" i="4"/>
  <c r="N3" i="4"/>
  <c r="O3" i="4"/>
  <c r="H3" i="4"/>
  <c r="P4" i="4"/>
  <c r="M4" i="4"/>
  <c r="L4" i="4"/>
  <c r="N4" i="4"/>
  <c r="O4" i="4"/>
  <c r="H4" i="4"/>
  <c r="L22" i="4"/>
  <c r="M22" i="4"/>
  <c r="C22" i="4" s="1"/>
  <c r="H22" i="4"/>
  <c r="P22" i="4"/>
  <c r="N22" i="4"/>
  <c r="M10" i="4"/>
  <c r="C10" i="4" s="1"/>
  <c r="N10" i="4"/>
  <c r="O10" i="4"/>
  <c r="H10" i="4"/>
  <c r="P10" i="4"/>
  <c r="L9" i="4"/>
  <c r="M9" i="4"/>
  <c r="N9" i="4"/>
  <c r="O9" i="4"/>
  <c r="H9" i="4"/>
  <c r="L27" i="4"/>
  <c r="M27" i="4"/>
  <c r="C27" i="4" s="1"/>
  <c r="N27" i="4"/>
  <c r="P27" i="4"/>
  <c r="H27" i="4"/>
  <c r="M8" i="4"/>
  <c r="C8" i="4" s="1"/>
  <c r="L8" i="4"/>
  <c r="N8" i="4"/>
  <c r="O8" i="4"/>
  <c r="H8" i="4"/>
  <c r="P8" i="4"/>
  <c r="M18" i="4"/>
  <c r="C18" i="4" s="1"/>
  <c r="L18" i="4"/>
  <c r="N18" i="4"/>
  <c r="O18" i="4"/>
  <c r="H18" i="4"/>
  <c r="C9" i="4" l="1"/>
  <c r="B9" i="4" s="1"/>
  <c r="C4" i="4"/>
  <c r="B4" i="4" s="1"/>
  <c r="B2" i="1" s="1"/>
  <c r="K15" i="1" s="1"/>
  <c r="B10" i="4"/>
  <c r="B5" i="4"/>
  <c r="B13" i="4"/>
  <c r="C17" i="4"/>
  <c r="B17" i="4" s="1"/>
  <c r="C21" i="4"/>
  <c r="B21" i="4" s="1"/>
  <c r="C2" i="4"/>
  <c r="B2" i="4" s="1"/>
  <c r="C7" i="4"/>
  <c r="B7" i="4" s="1"/>
  <c r="B3" i="1" s="1"/>
  <c r="B22" i="4"/>
  <c r="B27" i="4"/>
  <c r="B11" i="4"/>
  <c r="B19" i="4"/>
  <c r="B6" i="4"/>
  <c r="C15" i="4"/>
  <c r="B15" i="4" s="1"/>
  <c r="C24" i="4"/>
  <c r="B24" i="4" s="1"/>
  <c r="C26" i="4"/>
  <c r="B26" i="4" s="1"/>
  <c r="C3" i="4"/>
  <c r="B3" i="4" s="1"/>
  <c r="B4" i="1"/>
  <c r="B8" i="1"/>
  <c r="B5" i="1"/>
  <c r="H15" i="1" s="1"/>
  <c r="B8" i="4"/>
  <c r="B7" i="1" s="1"/>
  <c r="B18" i="4"/>
  <c r="B9" i="1" s="1"/>
  <c r="I15" i="1" l="1"/>
  <c r="H2" i="1"/>
  <c r="K8" i="1"/>
  <c r="H13" i="1"/>
  <c r="K13" i="1"/>
  <c r="K17" i="1"/>
  <c r="H17" i="1"/>
  <c r="H14" i="1"/>
  <c r="B10" i="1"/>
  <c r="K4" i="1" s="1"/>
  <c r="B1" i="1"/>
  <c r="K3" i="1" s="1"/>
  <c r="B6" i="1"/>
  <c r="K16" i="1" s="1"/>
  <c r="K2" i="1"/>
  <c r="H4" i="1" l="1"/>
  <c r="H7" i="1"/>
  <c r="I17" i="1"/>
  <c r="K7" i="1"/>
  <c r="H16" i="1"/>
  <c r="I16" i="1" s="1"/>
  <c r="I13" i="1"/>
  <c r="H3" i="1"/>
  <c r="H8" i="1"/>
  <c r="K14" i="1"/>
  <c r="I14" i="1" s="1"/>
  <c r="B11" i="1"/>
  <c r="H1" i="1" s="1"/>
  <c r="I19" i="1" l="1"/>
  <c r="H9" i="1"/>
  <c r="K1" i="1"/>
  <c r="K5" i="1" s="1"/>
  <c r="H5" i="1"/>
  <c r="K9" i="1" l="1"/>
</calcChain>
</file>

<file path=xl/sharedStrings.xml><?xml version="1.0" encoding="utf-8"?>
<sst xmlns="http://schemas.openxmlformats.org/spreadsheetml/2006/main" count="746" uniqueCount="194">
  <si>
    <t>Team 1</t>
  </si>
  <si>
    <t>Player 1</t>
  </si>
  <si>
    <t>Player 2</t>
  </si>
  <si>
    <t>Player 3</t>
  </si>
  <si>
    <t>Player 4</t>
  </si>
  <si>
    <t>Player 5</t>
  </si>
  <si>
    <t>Team 2</t>
  </si>
  <si>
    <t>Top</t>
  </si>
  <si>
    <t>Jungle</t>
  </si>
  <si>
    <t>Mid</t>
  </si>
  <si>
    <t>Adc</t>
  </si>
  <si>
    <t>Support</t>
  </si>
  <si>
    <t>1,2,3</t>
  </si>
  <si>
    <t>WOW</t>
  </si>
  <si>
    <t>Champion5, Champion 6</t>
  </si>
  <si>
    <t>Mid, Support</t>
  </si>
  <si>
    <t>1,2,3,4,5,6</t>
  </si>
  <si>
    <t>HAHA</t>
  </si>
  <si>
    <t xml:space="preserve">LOL </t>
  </si>
  <si>
    <t>Total Best of Three Wins</t>
  </si>
  <si>
    <t>Total Assists</t>
  </si>
  <si>
    <t>Total Deaths</t>
  </si>
  <si>
    <t>Total Kills</t>
  </si>
  <si>
    <t>Game Pool</t>
  </si>
  <si>
    <t>Teams</t>
  </si>
  <si>
    <t xml:space="preserve">Champion Pool </t>
  </si>
  <si>
    <t>Role Pool</t>
  </si>
  <si>
    <t>Name</t>
  </si>
  <si>
    <t>Player ID</t>
  </si>
  <si>
    <t>Champion5</t>
  </si>
  <si>
    <t>Player 10</t>
  </si>
  <si>
    <t>Champion4</t>
  </si>
  <si>
    <t>Bot</t>
  </si>
  <si>
    <t>Player 9</t>
  </si>
  <si>
    <t>Champion3</t>
  </si>
  <si>
    <t>Player 8</t>
  </si>
  <si>
    <t>Champion2</t>
  </si>
  <si>
    <t>Player 7</t>
  </si>
  <si>
    <t>Champion 1</t>
  </si>
  <si>
    <t>Player 6</t>
  </si>
  <si>
    <t>LOL</t>
  </si>
  <si>
    <t>Assists</t>
  </si>
  <si>
    <t xml:space="preserve">Deaths </t>
  </si>
  <si>
    <t xml:space="preserve">Kills </t>
  </si>
  <si>
    <t>Champion</t>
  </si>
  <si>
    <t>Role</t>
  </si>
  <si>
    <t>Players</t>
  </si>
  <si>
    <t>Team Name</t>
  </si>
  <si>
    <t>Team ID</t>
  </si>
  <si>
    <t>YUM</t>
  </si>
  <si>
    <t>Game Winner</t>
  </si>
  <si>
    <t>Team 2 Name</t>
  </si>
  <si>
    <t>Team 1 Name</t>
  </si>
  <si>
    <t>Game Number (Day)</t>
  </si>
  <si>
    <t>Game Date</t>
  </si>
  <si>
    <t>Game ID</t>
  </si>
  <si>
    <t>Fabian</t>
  </si>
  <si>
    <t>Brendan</t>
  </si>
  <si>
    <t>Rhys</t>
  </si>
  <si>
    <t>Darius</t>
  </si>
  <si>
    <t>Zach</t>
  </si>
  <si>
    <t>David</t>
  </si>
  <si>
    <t>Sean</t>
  </si>
  <si>
    <t>Sam</t>
  </si>
  <si>
    <t>Miles</t>
  </si>
  <si>
    <t>Iris</t>
  </si>
  <si>
    <t>Dean</t>
  </si>
  <si>
    <t>Stanley</t>
  </si>
  <si>
    <t>Manny</t>
  </si>
  <si>
    <t>Peter</t>
  </si>
  <si>
    <t>Vernon</t>
  </si>
  <si>
    <t>Erik</t>
  </si>
  <si>
    <t>Ian</t>
  </si>
  <si>
    <t>Mimi</t>
  </si>
  <si>
    <t>Assists/Game</t>
  </si>
  <si>
    <t>Deaths/Game</t>
  </si>
  <si>
    <t>Kills/Game</t>
  </si>
  <si>
    <t>KDA</t>
  </si>
  <si>
    <t>Deaths</t>
  </si>
  <si>
    <t>Kills</t>
  </si>
  <si>
    <t>Winrate</t>
  </si>
  <si>
    <t>Losses</t>
  </si>
  <si>
    <t>Wins</t>
  </si>
  <si>
    <t>Games</t>
  </si>
  <si>
    <t>Player</t>
  </si>
  <si>
    <t>A</t>
  </si>
  <si>
    <t>D</t>
  </si>
  <si>
    <t>K</t>
  </si>
  <si>
    <t>Loss</t>
  </si>
  <si>
    <t>Result</t>
  </si>
  <si>
    <t>Tristana</t>
  </si>
  <si>
    <t>Ezreal</t>
  </si>
  <si>
    <t>Draven</t>
  </si>
  <si>
    <t>Win</t>
  </si>
  <si>
    <t>Master Yi</t>
  </si>
  <si>
    <t>Warwick</t>
  </si>
  <si>
    <t>Wukong</t>
  </si>
  <si>
    <t>Senna</t>
  </si>
  <si>
    <t>Urgot</t>
  </si>
  <si>
    <t>Volibear</t>
  </si>
  <si>
    <t>Shen</t>
  </si>
  <si>
    <t>Kennen</t>
  </si>
  <si>
    <t>Zoe</t>
  </si>
  <si>
    <t>Mordekaiser</t>
  </si>
  <si>
    <t>Fizz</t>
  </si>
  <si>
    <t>Jhin</t>
  </si>
  <si>
    <t>Miss Fortune</t>
  </si>
  <si>
    <t>Jinx</t>
  </si>
  <si>
    <t>Kai'sa</t>
  </si>
  <si>
    <t>Ashe</t>
  </si>
  <si>
    <t>Kayn</t>
  </si>
  <si>
    <t>Elise</t>
  </si>
  <si>
    <t>Nunu &amp; Willump</t>
  </si>
  <si>
    <t>Sylas</t>
  </si>
  <si>
    <t>Rakan</t>
  </si>
  <si>
    <t>Swain</t>
  </si>
  <si>
    <t>Yuumi</t>
  </si>
  <si>
    <t>Diana</t>
  </si>
  <si>
    <t>Zed</t>
  </si>
  <si>
    <t>Ahri</t>
  </si>
  <si>
    <t>Leona</t>
  </si>
  <si>
    <t>Kha'zix</t>
  </si>
  <si>
    <t>Amumu</t>
  </si>
  <si>
    <t>Jax</t>
  </si>
  <si>
    <t>Sejuani</t>
  </si>
  <si>
    <t>Lux</t>
  </si>
  <si>
    <t>Nami</t>
  </si>
  <si>
    <t>Jayce</t>
  </si>
  <si>
    <t>Irelia</t>
  </si>
  <si>
    <t>Camille</t>
  </si>
  <si>
    <t>Gangplank</t>
  </si>
  <si>
    <t>Sion</t>
  </si>
  <si>
    <t>Vladimir</t>
  </si>
  <si>
    <t>Annie</t>
  </si>
  <si>
    <t>Alistar</t>
  </si>
  <si>
    <t>Pantheon</t>
  </si>
  <si>
    <t>Nautilus</t>
  </si>
  <si>
    <t>Veigar</t>
  </si>
  <si>
    <t>Lulu</t>
  </si>
  <si>
    <t>Galio</t>
  </si>
  <si>
    <t>Zilean</t>
  </si>
  <si>
    <t>Orianna</t>
  </si>
  <si>
    <t>Viktor</t>
  </si>
  <si>
    <t>Syndra</t>
  </si>
  <si>
    <t>Lucian</t>
  </si>
  <si>
    <t>Yone</t>
  </si>
  <si>
    <t>Katarina</t>
  </si>
  <si>
    <t>Renekton</t>
  </si>
  <si>
    <t>Ornn</t>
  </si>
  <si>
    <t>Rating</t>
  </si>
  <si>
    <t>Rank</t>
  </si>
  <si>
    <t>Gabby</t>
  </si>
  <si>
    <t>Scrim Rating</t>
  </si>
  <si>
    <t>KD</t>
  </si>
  <si>
    <t>Fiora</t>
  </si>
  <si>
    <t>Cho'gath</t>
  </si>
  <si>
    <t>Dr. Mundo</t>
  </si>
  <si>
    <t>Morgana</t>
  </si>
  <si>
    <t>Lillia</t>
  </si>
  <si>
    <t>Vel'koz</t>
  </si>
  <si>
    <t>Team 1 will get the first player pick, alternating between teams.</t>
  </si>
  <si>
    <t>Team Captains</t>
  </si>
  <si>
    <t>Flip Coin</t>
  </si>
  <si>
    <t>If a team runs out of points, they automatically receive the cheapest remaining player (roles providing).</t>
  </si>
  <si>
    <t>Graves</t>
  </si>
  <si>
    <t>Shaco</t>
  </si>
  <si>
    <t>Malzahar</t>
  </si>
  <si>
    <t>Heads</t>
  </si>
  <si>
    <t>Team 2 will get the first player pick of the second half, alternating between teams.</t>
  </si>
  <si>
    <t>Seraphine</t>
  </si>
  <si>
    <t>Olaf</t>
  </si>
  <si>
    <t>Vayne</t>
  </si>
  <si>
    <t>Teemo</t>
  </si>
  <si>
    <t>Gragas</t>
  </si>
  <si>
    <t>Blake</t>
  </si>
  <si>
    <t>Psycho Carrot</t>
  </si>
  <si>
    <t>Dan</t>
  </si>
  <si>
    <t>Aatrox</t>
  </si>
  <si>
    <t>Thresh</t>
  </si>
  <si>
    <t>Twitch</t>
  </si>
  <si>
    <t>Kha'Zix</t>
  </si>
  <si>
    <t>Maokai</t>
  </si>
  <si>
    <t>Jar</t>
  </si>
  <si>
    <t>Fill</t>
  </si>
  <si>
    <t>Fill?</t>
  </si>
  <si>
    <t>Garen</t>
  </si>
  <si>
    <t>Udyr</t>
  </si>
  <si>
    <t>Rengar</t>
  </si>
  <si>
    <t>Yasuo</t>
  </si>
  <si>
    <t>Sivir</t>
  </si>
  <si>
    <t>Erik O.</t>
  </si>
  <si>
    <t>Erik Y.</t>
  </si>
  <si>
    <t>Steven</t>
  </si>
  <si>
    <t>Garrett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</si>
</sst>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0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9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32">
    <xf numFmtId="0" fontId="0" fillId="0" borderId="0" xfId="0"/>
    <xf numFmtId="0" fontId="0" fillId="0" borderId="0" xfId="0" applyFill="1"/>
    <xf numFmtId="0" fontId="3" fillId="0" borderId="0" xfId="2"/>
    <xf numFmtId="0" fontId="4" fillId="0" borderId="0" xfId="2" applyFont="1" applyAlignment="1">
      <alignment wrapText="1"/>
    </xf>
    <xf numFmtId="0" fontId="5" fillId="0" borderId="1" xfId="2" applyFont="1" applyBorder="1"/>
    <xf numFmtId="0" fontId="4" fillId="0" borderId="1" xfId="2" applyFont="1" applyBorder="1"/>
    <xf numFmtId="0" fontId="4" fillId="0" borderId="1" xfId="2" applyFont="1" applyBorder="1" applyAlignment="1">
      <alignment wrapText="1"/>
    </xf>
    <xf numFmtId="0" fontId="5" fillId="0" borderId="1" xfId="2" applyFont="1" applyBorder="1" applyAlignment="1">
      <alignment wrapText="1"/>
    </xf>
    <xf numFmtId="0" fontId="5" fillId="2" borderId="1" xfId="2" applyFont="1" applyFill="1" applyBorder="1" applyAlignment="1">
      <alignment wrapText="1"/>
    </xf>
    <xf numFmtId="0" fontId="4" fillId="2" borderId="1" xfId="2" applyFont="1" applyFill="1" applyBorder="1"/>
    <xf numFmtId="0" fontId="5" fillId="2" borderId="1" xfId="2" applyFont="1" applyFill="1" applyBorder="1"/>
    <xf numFmtId="0" fontId="4" fillId="2" borderId="1" xfId="2" applyFont="1" applyFill="1" applyBorder="1" applyAlignment="1">
      <alignment wrapText="1"/>
    </xf>
    <xf numFmtId="0" fontId="4" fillId="0" borderId="0" xfId="2" applyFont="1"/>
    <xf numFmtId="0" fontId="5" fillId="0" borderId="0" xfId="2" applyFont="1" applyAlignment="1">
      <alignment wrapText="1"/>
    </xf>
    <xf numFmtId="164" fontId="5" fillId="0" borderId="1" xfId="2" applyNumberFormat="1" applyFont="1" applyBorder="1"/>
    <xf numFmtId="164" fontId="4" fillId="0" borderId="1" xfId="2" applyNumberFormat="1" applyFont="1" applyBorder="1"/>
    <xf numFmtId="164" fontId="4" fillId="0" borderId="0" xfId="2" applyNumberFormat="1" applyFont="1"/>
    <xf numFmtId="0" fontId="5" fillId="0" borderId="0" xfId="2" applyFont="1"/>
    <xf numFmtId="0" fontId="4" fillId="0" borderId="0" xfId="2" applyFont="1" applyAlignment="1">
      <alignment horizontal="right"/>
    </xf>
    <xf numFmtId="0" fontId="5" fillId="0" borderId="0" xfId="2" applyFont="1" applyAlignment="1">
      <alignment horizontal="right"/>
    </xf>
    <xf numFmtId="0" fontId="4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2" fontId="0" fillId="0" borderId="0" xfId="0" applyNumberFormat="1" applyFill="1"/>
    <xf numFmtId="165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9" fontId="0" fillId="0" borderId="0" xfId="1" applyFont="1" applyFill="1"/>
    <xf numFmtId="1" fontId="0" fillId="0" borderId="0" xfId="0" applyNumberFormat="1" applyFill="1"/>
    <xf numFmtId="0" fontId="4" fillId="0" borderId="0" xfId="2" applyFont="1" applyFill="1"/>
    <xf numFmtId="0" fontId="0" fillId="3" borderId="0" xfId="0" applyFill="1"/>
    <xf numFmtId="2" fontId="3" fillId="0" borderId="0" xfId="2" applyNumberFormat="1"/>
    <xf numFmtId="0" fontId="0" fillId="4" borderId="0" xfId="0" applyFill="1"/>
    <xf numFmtId="0" fontId="0" fillId="5" borderId="0" xfId="0" applyFill="1"/>
  </cellXfs>
  <cellStyles count="3">
    <cellStyle name="Normal" xfId="0" builtinId="0"/>
    <cellStyle name="Normal 2" xfId="2" xr:uid="{A41DE132-E67D-4CF0-97E5-399688BE5C3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6</xdr:row>
          <xdr:rowOff>85725</xdr:rowOff>
        </xdr:from>
        <xdr:to>
          <xdr:col>16</xdr:col>
          <xdr:colOff>400050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</xdr:row>
          <xdr:rowOff>76200</xdr:rowOff>
        </xdr:from>
        <xdr:to>
          <xdr:col>16</xdr:col>
          <xdr:colOff>381000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 Coin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20</xdr:row>
          <xdr:rowOff>47625</xdr:rowOff>
        </xdr:from>
        <xdr:to>
          <xdr:col>15</xdr:col>
          <xdr:colOff>581025</xdr:colOff>
          <xdr:row>22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9A8C6-BD46-47D2-B7E6-12CE527F4C35}">
  <sheetPr codeName="Sheet1"/>
  <dimension ref="A1:Z1048576"/>
  <sheetViews>
    <sheetView workbookViewId="0">
      <selection activeCell="J11" sqref="J11"/>
    </sheetView>
  </sheetViews>
  <sheetFormatPr defaultRowHeight="15" zeroHeight="1" x14ac:dyDescent="0.25"/>
  <cols>
    <col min="1" max="1" width="13.140625" bestFit="1" customWidth="1"/>
    <col min="7" max="7" width="13.140625" bestFit="1" customWidth="1"/>
    <col min="10" max="10" width="13" customWidth="1"/>
    <col min="14" max="14" width="14.28515625" customWidth="1"/>
    <col min="15" max="15" width="13.140625" bestFit="1" customWidth="1"/>
  </cols>
  <sheetData>
    <row r="1" spans="1:26" x14ac:dyDescent="0.25">
      <c r="A1" s="31" t="s">
        <v>63</v>
      </c>
      <c r="B1" s="1">
        <f>ROUND(VLOOKUP(A1,Data!A:B,2,FALSE),0)</f>
        <v>24</v>
      </c>
      <c r="C1" s="1" t="s">
        <v>184</v>
      </c>
      <c r="D1" s="1"/>
      <c r="E1" s="1"/>
      <c r="F1" s="1"/>
      <c r="G1" s="1" t="s">
        <v>0</v>
      </c>
      <c r="H1" s="1" t="e">
        <f>_xlfn.CEILING.MATH($B$11/2)</f>
        <v>#N/A</v>
      </c>
      <c r="I1" s="1"/>
      <c r="J1" s="1" t="s">
        <v>6</v>
      </c>
      <c r="K1" s="1" t="e">
        <f>_xlfn.CEILING.MATH($B$11/2)</f>
        <v>#N/A</v>
      </c>
      <c r="L1" s="1"/>
      <c r="M1" s="1"/>
      <c r="N1" s="1" t="s">
        <v>160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0" t="s">
        <v>69</v>
      </c>
      <c r="B2" s="1">
        <f>ROUND(VLOOKUP(A2,Data!A:B,2,FALSE),0)</f>
        <v>21</v>
      </c>
      <c r="C2" s="1" t="s">
        <v>7</v>
      </c>
      <c r="D2" s="1"/>
      <c r="E2" s="1" t="s">
        <v>1</v>
      </c>
      <c r="F2" s="1"/>
      <c r="G2" s="1" t="s">
        <v>64</v>
      </c>
      <c r="H2" s="1">
        <f>IF(ISERROR(VLOOKUP(G2,$A$1:$B$10,2, FALSE)),0,VLOOKUP(G2,$A$1:$B$10,2, FALSE) )</f>
        <v>15</v>
      </c>
      <c r="I2" s="1"/>
      <c r="J2" s="1" t="s">
        <v>71</v>
      </c>
      <c r="K2" s="1">
        <f>IF(ISERROR(VLOOKUP(J2,$A$1:$B$10,2, FALSE)),0,VLOOKUP(J2,$A$1:$B$10,2, FALSE) )</f>
        <v>0</v>
      </c>
      <c r="L2" s="1"/>
      <c r="M2" s="1"/>
      <c r="N2" s="1" t="s">
        <v>163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30" t="s">
        <v>60</v>
      </c>
      <c r="B3" s="1">
        <f>ROUND(VLOOKUP(A3,Data!A:B,2,FALSE),0)</f>
        <v>19</v>
      </c>
      <c r="C3" s="1" t="s">
        <v>184</v>
      </c>
      <c r="D3" s="1"/>
      <c r="E3" s="1" t="s">
        <v>2</v>
      </c>
      <c r="F3" s="1"/>
      <c r="G3" s="1" t="s">
        <v>69</v>
      </c>
      <c r="H3" s="1">
        <f>IF(ISERROR(VLOOKUP(G3,$A$1:$B$10,2, FALSE)),0,VLOOKUP(G3,$A$1:$B$10,2, FALSE) )</f>
        <v>21</v>
      </c>
      <c r="I3" s="1"/>
      <c r="J3" s="1" t="s">
        <v>63</v>
      </c>
      <c r="K3" s="1">
        <f>IF(ISERROR(VLOOKUP(J3,$A$1:$B$10,2, FALSE)),0,VLOOKUP(J3,$A$1:$B$10,2, FALSE) )</f>
        <v>24</v>
      </c>
      <c r="L3" s="1"/>
      <c r="M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31" t="s">
        <v>67</v>
      </c>
      <c r="B4" s="1">
        <f>ROUND(VLOOKUP(A4,Data!A:B,2,FALSE),0)</f>
        <v>20</v>
      </c>
      <c r="C4" s="1" t="s">
        <v>9</v>
      </c>
      <c r="D4" s="1"/>
      <c r="E4" s="1" t="s">
        <v>3</v>
      </c>
      <c r="F4" s="1"/>
      <c r="G4" s="1" t="s">
        <v>175</v>
      </c>
      <c r="H4" s="1">
        <f>IF(ISERROR(VLOOKUP(G4,$A$1:$B$10,2, FALSE)),0,VLOOKUP(G4,$A$1:$B$10,2, FALSE) )</f>
        <v>6</v>
      </c>
      <c r="I4" s="1"/>
      <c r="J4" s="1" t="s">
        <v>61</v>
      </c>
      <c r="K4" s="1">
        <f>IF(ISERROR(VLOOKUP(J4,$A$1:$B$10,2, FALSE)),0,VLOOKUP(J4,$A$1:$B$10,2, FALSE) )</f>
        <v>11</v>
      </c>
      <c r="L4" s="1"/>
      <c r="M4" s="1"/>
      <c r="N4" t="s">
        <v>168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31" t="s">
        <v>182</v>
      </c>
      <c r="B5" s="1">
        <f>ROUND(VLOOKUP(A5,Data!A:B,2,FALSE),0)</f>
        <v>19</v>
      </c>
      <c r="C5" s="1" t="s">
        <v>8</v>
      </c>
      <c r="D5" s="1"/>
      <c r="E5" s="1"/>
      <c r="F5" s="1"/>
      <c r="G5" s="1"/>
      <c r="H5" s="1" t="e">
        <f>_xlfn.CEILING.MATH(H1*0.6-SUM(H2:H4))</f>
        <v>#N/A</v>
      </c>
      <c r="I5" s="1"/>
      <c r="J5" s="1"/>
      <c r="K5" s="1" t="e">
        <f>_xlfn.CEILING.MATH(K1*0.6-SUM(K2:K4))</f>
        <v>#N/A</v>
      </c>
      <c r="L5" s="1"/>
      <c r="M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30" t="s">
        <v>66</v>
      </c>
      <c r="B6" s="1">
        <f>ROUND(VLOOKUP(A6,Data!A:B,2,FALSE),0)</f>
        <v>15</v>
      </c>
      <c r="C6" s="1" t="s">
        <v>183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30" t="s">
        <v>64</v>
      </c>
      <c r="B7" s="1">
        <f>ROUND(VLOOKUP(A7,Data!A:B,2,FALSE),0)</f>
        <v>15</v>
      </c>
      <c r="C7" s="1" t="s">
        <v>8</v>
      </c>
      <c r="D7" s="1"/>
      <c r="E7" s="1" t="s">
        <v>4</v>
      </c>
      <c r="F7" s="1"/>
      <c r="G7" s="1" t="s">
        <v>66</v>
      </c>
      <c r="H7" s="1">
        <f>IF(ISERROR(VLOOKUP(G7,$A$1:$B$10,2, FALSE)),0,VLOOKUP(G7,$A$1:$B$10,2, FALSE) )</f>
        <v>15</v>
      </c>
      <c r="I7" s="1"/>
      <c r="J7" s="1" t="s">
        <v>67</v>
      </c>
      <c r="K7" s="1">
        <f>IF(ISERROR(VLOOKUP(J7,$A$1:$B$10,2, FALSE)),0,VLOOKUP(J7,$A$1:$B$10,2, FALSE) )</f>
        <v>20</v>
      </c>
      <c r="L7" s="1"/>
      <c r="M7" s="1"/>
      <c r="N7" s="1" t="s">
        <v>161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31" t="s">
        <v>71</v>
      </c>
      <c r="B8" s="1" t="e">
        <f>ROUND(VLOOKUP(A8,Data!A:B,2,FALSE),0)</f>
        <v>#N/A</v>
      </c>
      <c r="C8" s="1" t="s">
        <v>183</v>
      </c>
      <c r="D8" s="1"/>
      <c r="E8" s="1" t="s">
        <v>5</v>
      </c>
      <c r="F8" s="1"/>
      <c r="G8" s="1" t="s">
        <v>60</v>
      </c>
      <c r="H8" s="1">
        <f>IF(ISERROR(VLOOKUP(G8,$A$1:$B$10,2, FALSE)),0,VLOOKUP(G8,$A$1:$B$10,2, FALSE) )</f>
        <v>19</v>
      </c>
      <c r="I8" s="1"/>
      <c r="J8" s="1" t="s">
        <v>182</v>
      </c>
      <c r="K8" s="1">
        <f>IF(ISERROR(VLOOKUP(J8,$A$1:$B$10,2, FALSE)),0,VLOOKUP(J8,$A$1:$B$10,2, FALSE) )</f>
        <v>19</v>
      </c>
      <c r="L8" s="1"/>
      <c r="M8" s="1"/>
      <c r="N8" s="1" t="s">
        <v>71</v>
      </c>
      <c r="O8" s="1" t="s">
        <v>64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31" t="s">
        <v>61</v>
      </c>
      <c r="B9" s="1">
        <f>ROUND(VLOOKUP(A9,Data!A:B,2,FALSE),0)</f>
        <v>11</v>
      </c>
      <c r="C9" s="1" t="s">
        <v>8</v>
      </c>
      <c r="D9" s="1"/>
      <c r="E9" s="1"/>
      <c r="F9" s="1"/>
      <c r="G9" s="1"/>
      <c r="H9" s="1" t="e">
        <f>_xlfn.CEILING.MATH(H1-SUM(H7:H8)-SUM(H2:H4))</f>
        <v>#N/A</v>
      </c>
      <c r="I9" s="1"/>
      <c r="J9" s="1"/>
      <c r="K9" s="1" t="e">
        <f>_xlfn.CEILING.MATH(K1-SUM(K7:K8)-SUM(K2:K4))</f>
        <v>#N/A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30" t="s">
        <v>175</v>
      </c>
      <c r="B10" s="1">
        <f>ROUND(VLOOKUP(A10,Data!A:B,2,FALSE),0)</f>
        <v>6</v>
      </c>
      <c r="C10" s="1" t="s">
        <v>11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 t="s">
        <v>162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 t="e">
        <f>SUM(B1:B10)</f>
        <v>#N/A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8" t="s">
        <v>167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B13" s="1"/>
      <c r="C13" s="1"/>
      <c r="D13" s="1"/>
      <c r="E13" s="1" t="s">
        <v>7</v>
      </c>
      <c r="F13" s="1"/>
      <c r="G13" s="1"/>
      <c r="H13" s="1">
        <f>IF(ISERROR(VLOOKUP(G13,$A$1:$B$10,2, FALSE)),0,VLOOKUP(G13,$A$1:$B$10,2, FALSE) )</f>
        <v>0</v>
      </c>
      <c r="I13" s="1">
        <f>H13-K13</f>
        <v>0</v>
      </c>
      <c r="J13" s="1"/>
      <c r="K13" s="1">
        <f>IF(ISERROR(VLOOKUP(J13,$A$1:$B$10,2, FALSE)),0,VLOOKUP(J13,$A$1:$B$10,2, FALSE) )</f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B14" s="1"/>
      <c r="C14" s="1"/>
      <c r="D14" s="1"/>
      <c r="E14" s="1" t="s">
        <v>8</v>
      </c>
      <c r="F14" s="1"/>
      <c r="G14" s="1"/>
      <c r="H14" s="1">
        <f>IF(ISERROR(VLOOKUP(G14,$A$1:$B$10,2, FALSE)),0,VLOOKUP(G14,$A$1:$B$10,2, FALSE) )</f>
        <v>0</v>
      </c>
      <c r="I14" s="1">
        <f>H14-K14</f>
        <v>0</v>
      </c>
      <c r="J14" s="1"/>
      <c r="K14" s="1">
        <f>IF(ISERROR(VLOOKUP(J14,$A$1:$B$10,2, FALSE)),0,VLOOKUP(J14,$A$1:$B$10,2, FALSE) )</f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B15" s="1"/>
      <c r="C15" s="1"/>
      <c r="D15" s="1"/>
      <c r="E15" s="1" t="s">
        <v>9</v>
      </c>
      <c r="F15" s="1"/>
      <c r="G15" s="1"/>
      <c r="H15" s="1">
        <f>IF(ISERROR(VLOOKUP(G15,$A$1:$B$10,2, FALSE)),0,VLOOKUP(G15,$A$1:$B$10,2, FALSE) )</f>
        <v>0</v>
      </c>
      <c r="I15" s="1">
        <f>H15-K15</f>
        <v>0</v>
      </c>
      <c r="J15" s="1"/>
      <c r="K15" s="1">
        <f>IF(ISERROR(VLOOKUP(J15,$A$1:$B$10,2, FALSE)),0,VLOOKUP(J15,$A$1:$B$10,2, FALSE) )</f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 t="s">
        <v>10</v>
      </c>
      <c r="F16" s="1"/>
      <c r="G16" s="1"/>
      <c r="H16" s="1">
        <f>IF(ISERROR(VLOOKUP(G16,$A$1:$B$10,2, FALSE)),0,VLOOKUP(G16,$A$1:$B$10,2, FALSE) )</f>
        <v>0</v>
      </c>
      <c r="I16" s="1">
        <f>H16-K16</f>
        <v>0</v>
      </c>
      <c r="J16" s="1"/>
      <c r="K16" s="1">
        <f>IF(ISERROR(VLOOKUP(J16,$A$1:$B$10,2, FALSE)),0,VLOOKUP(J16,$A$1:$B$10,2, FALSE) )</f>
        <v>0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B17" s="1"/>
      <c r="C17" s="1"/>
      <c r="D17" s="1"/>
      <c r="E17" s="1" t="s">
        <v>11</v>
      </c>
      <c r="F17" s="1"/>
      <c r="G17" s="1"/>
      <c r="H17" s="1">
        <f>IF(ISERROR(VLOOKUP(G17,$A$1:$B$10,2, FALSE)),0,VLOOKUP(G17,$A$1:$B$10,2, FALSE) )</f>
        <v>0</v>
      </c>
      <c r="I17" s="1">
        <f>H17-K17</f>
        <v>0</v>
      </c>
      <c r="J17" s="1"/>
      <c r="K17" s="1">
        <f>IF(ISERROR(VLOOKUP(J17,$A$1:$B$10,2, FALSE)),0,VLOOKUP(J17,$A$1:$B$10,2, FALSE) )</f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>
        <f>SUM(I13:I17)</f>
        <v>0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/>
    <row r="46" spans="1:26" x14ac:dyDescent="0.25"/>
    <row r="47" spans="1:26" x14ac:dyDescent="0.25"/>
    <row r="48" spans="1:2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7:7" x14ac:dyDescent="0.25"/>
    <row r="66" spans="7:7" x14ac:dyDescent="0.25"/>
    <row r="67" spans="7:7" x14ac:dyDescent="0.25"/>
    <row r="68" spans="7:7" x14ac:dyDescent="0.25"/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79" spans="7:7" x14ac:dyDescent="0.25"/>
    <row r="80" spans="7:7" x14ac:dyDescent="0.25">
      <c r="G80" s="1"/>
    </row>
    <row r="1048576" spans="1:1" hidden="1" x14ac:dyDescent="0.25">
      <c r="A1048576" s="1"/>
    </row>
  </sheetData>
  <phoneticPr fontId="1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_Captains">
                <anchor moveWithCells="1" sizeWithCells="1">
                  <from>
                    <xdr:col>15</xdr:col>
                    <xdr:colOff>142875</xdr:colOff>
                    <xdr:row>6</xdr:row>
                    <xdr:rowOff>85725</xdr:rowOff>
                  </from>
                  <to>
                    <xdr:col>16</xdr:col>
                    <xdr:colOff>400050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lip_Coin">
                <anchor moveWithCells="1" sizeWithCells="1">
                  <from>
                    <xdr:col>15</xdr:col>
                    <xdr:colOff>171450</xdr:colOff>
                    <xdr:row>10</xdr:row>
                    <xdr:rowOff>76200</xdr:rowOff>
                  </from>
                  <to>
                    <xdr:col>16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layers">
                <anchor moveWithCells="1" sizeWithCells="1">
                  <from>
                    <xdr:col>14</xdr:col>
                    <xdr:colOff>304800</xdr:colOff>
                    <xdr:row>20</xdr:row>
                    <xdr:rowOff>47625</xdr:rowOff>
                  </from>
                  <to>
                    <xdr:col>15</xdr:col>
                    <xdr:colOff>581025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03FB-EC55-405E-AE8F-F1C021E18305}">
  <sheetPr codeName="Sheet2">
    <outlinePr summaryBelow="0" summaryRight="0"/>
  </sheetPr>
  <dimension ref="A1:R30"/>
  <sheetViews>
    <sheetView tabSelected="1" workbookViewId="0">
      <selection activeCell="E34" sqref="E34"/>
    </sheetView>
  </sheetViews>
  <sheetFormatPr defaultColWidth="14.42578125" defaultRowHeight="15.75" customHeight="1" x14ac:dyDescent="0.2"/>
  <cols>
    <col min="1" max="1" width="14.42578125" style="2"/>
    <col min="2" max="2" width="8.85546875" style="2" bestFit="1" customWidth="1"/>
    <col min="3" max="3" width="14.140625" style="2" bestFit="1" customWidth="1"/>
    <col min="4" max="4" width="7.5703125" style="2" bestFit="1" customWidth="1"/>
    <col min="5" max="5" width="9.28515625" style="2" bestFit="1" customWidth="1"/>
    <col min="6" max="6" width="8.42578125" style="2" bestFit="1" customWidth="1"/>
    <col min="7" max="7" width="9" style="2" bestFit="1" customWidth="1"/>
    <col min="8" max="8" width="10.42578125" style="2" bestFit="1" customWidth="1"/>
    <col min="9" max="9" width="7" style="2" bestFit="1" customWidth="1"/>
    <col min="10" max="10" width="9.42578125" style="2" bestFit="1" customWidth="1"/>
    <col min="11" max="11" width="9.28515625" style="2" bestFit="1" customWidth="1"/>
    <col min="12" max="13" width="7.42578125" style="2" bestFit="1" customWidth="1"/>
    <col min="14" max="14" width="13" style="2" bestFit="1" customWidth="1"/>
    <col min="15" max="15" width="15.5703125" style="2" bestFit="1" customWidth="1"/>
    <col min="16" max="16" width="15.42578125" style="2" bestFit="1" customWidth="1"/>
    <col min="17" max="16384" width="14.42578125" style="2"/>
  </cols>
  <sheetData>
    <row r="1" spans="1:18" ht="15.75" customHeight="1" x14ac:dyDescent="0.25">
      <c r="A1" s="1" t="s">
        <v>84</v>
      </c>
      <c r="B1" s="1" t="s">
        <v>149</v>
      </c>
      <c r="C1" s="1" t="s">
        <v>152</v>
      </c>
      <c r="D1" s="1" t="s">
        <v>150</v>
      </c>
      <c r="E1" s="1" t="s">
        <v>83</v>
      </c>
      <c r="F1" s="1" t="s">
        <v>82</v>
      </c>
      <c r="G1" s="1" t="s">
        <v>81</v>
      </c>
      <c r="H1" s="1" t="s">
        <v>80</v>
      </c>
      <c r="I1" s="1" t="s">
        <v>79</v>
      </c>
      <c r="J1" s="1" t="s">
        <v>78</v>
      </c>
      <c r="K1" s="1" t="s">
        <v>41</v>
      </c>
      <c r="L1" s="1" t="s">
        <v>153</v>
      </c>
      <c r="M1" s="1" t="s">
        <v>77</v>
      </c>
      <c r="N1" s="1" t="s">
        <v>76</v>
      </c>
      <c r="O1" s="1" t="s">
        <v>75</v>
      </c>
      <c r="P1" s="1" t="s">
        <v>74</v>
      </c>
      <c r="Q1" s="1"/>
      <c r="R1" s="1"/>
    </row>
    <row r="2" spans="1:18" ht="15" x14ac:dyDescent="0.25">
      <c r="A2" s="1" t="s">
        <v>70</v>
      </c>
      <c r="B2" s="22">
        <f>C2+D2</f>
        <v>27.102272727272727</v>
      </c>
      <c r="C2" s="22">
        <f>IF(E2=0, 0, 0.5*(F2-G2+M2))</f>
        <v>3.1022727272727275</v>
      </c>
      <c r="D2" s="26">
        <v>24</v>
      </c>
      <c r="E2" s="1">
        <f>COUNTA(Vernon!$B$2:$Z$2)</f>
        <v>8</v>
      </c>
      <c r="F2" s="1">
        <f>COUNTIF(Vernon!$B$2:$Z$2, "Win")</f>
        <v>6</v>
      </c>
      <c r="G2" s="1">
        <f>COUNTIF(Vernon!$B$2:$Z$2, "Loss")</f>
        <v>2</v>
      </c>
      <c r="H2" s="25">
        <f>IF(E2&gt;0,F2/E2,0%)</f>
        <v>0.75</v>
      </c>
      <c r="I2" s="1">
        <f>SUM(Vernon!$B$3:$Z$3)</f>
        <v>53</v>
      </c>
      <c r="J2" s="1">
        <f>SUM(Vernon!$B$4:$Z$4)</f>
        <v>44</v>
      </c>
      <c r="K2" s="1">
        <f>SUM(Vernon!$B$5:$Z$5)</f>
        <v>44</v>
      </c>
      <c r="L2" s="24">
        <f>IF(NOT(J2 = 0), I2/J2, "perfect")</f>
        <v>1.2045454545454546</v>
      </c>
      <c r="M2" s="24">
        <f>IF(NOT(J2 = 0), (I2+K2)/J2, "perfect")</f>
        <v>2.2045454545454546</v>
      </c>
      <c r="N2" s="23">
        <f>IF($E2&gt;0,I2/$E2, 0)</f>
        <v>6.625</v>
      </c>
      <c r="O2" s="23">
        <f>IF($E2&gt;0,J2/$E2, 0)</f>
        <v>5.5</v>
      </c>
      <c r="P2" s="23">
        <f>IF($E2&gt;0,K2/$E2, 0)</f>
        <v>5.5</v>
      </c>
      <c r="Q2" s="1"/>
      <c r="R2" s="1"/>
    </row>
    <row r="3" spans="1:18" ht="15" x14ac:dyDescent="0.25">
      <c r="A3" s="1" t="s">
        <v>63</v>
      </c>
      <c r="B3" s="22">
        <f>C3+D3</f>
        <v>23.737804878048781</v>
      </c>
      <c r="C3" s="22">
        <f>IF(E3=0, 0, 0.5*(F3-G3+M3))</f>
        <v>1.7378048780487805</v>
      </c>
      <c r="D3" s="26">
        <v>22</v>
      </c>
      <c r="E3" s="1">
        <f>COUNTA(Sam!$B$2:$Z$2)</f>
        <v>20</v>
      </c>
      <c r="F3" s="1">
        <f>COUNTIF(Sam!$B$2:$Z$2, "Win")</f>
        <v>10</v>
      </c>
      <c r="G3" s="1">
        <f>COUNTIF(Sam!$B$2:$Z$2, "Loss")</f>
        <v>10</v>
      </c>
      <c r="H3" s="25">
        <f>IF(E3&gt;0,F3/E3,0%)</f>
        <v>0.5</v>
      </c>
      <c r="I3" s="1">
        <f>SUM(Sam!$B$3:$Z$3)</f>
        <v>61</v>
      </c>
      <c r="J3" s="1">
        <f>SUM(Sam!$B$4:$Z$4)</f>
        <v>82</v>
      </c>
      <c r="K3" s="1">
        <f>SUM(Sam!$B$5:$Z$5)</f>
        <v>224</v>
      </c>
      <c r="L3" s="24">
        <f>IF(NOT(J3 = 0), I3/J3, "perfect")</f>
        <v>0.74390243902439024</v>
      </c>
      <c r="M3" s="24">
        <f>IF(NOT(J3 = 0), (I3+K3)/J3, "perfect")</f>
        <v>3.475609756097561</v>
      </c>
      <c r="N3" s="23">
        <f>IF($E3&gt;0,I3/$E3, 0)</f>
        <v>3.05</v>
      </c>
      <c r="O3" s="23">
        <f>IF($E3&gt;0,J3/$E3, 0)</f>
        <v>4.0999999999999996</v>
      </c>
      <c r="P3" s="23">
        <f>IF($E3&gt;0,K3/$E3, 0)</f>
        <v>11.2</v>
      </c>
      <c r="Q3" s="1"/>
      <c r="R3" s="1"/>
    </row>
    <row r="4" spans="1:18" ht="15" x14ac:dyDescent="0.25">
      <c r="A4" s="1" t="s">
        <v>69</v>
      </c>
      <c r="B4" s="22">
        <f>C4+D4</f>
        <v>21.34375</v>
      </c>
      <c r="C4" s="22">
        <f>IF(E4=0, 0, 0.5*(F4-G4+M4))</f>
        <v>4.34375</v>
      </c>
      <c r="D4" s="26">
        <v>17</v>
      </c>
      <c r="E4" s="1">
        <f>COUNTA(Peter!$B$2:$Z$2)</f>
        <v>22</v>
      </c>
      <c r="F4" s="1">
        <f>COUNTIF(Peter!$B$2:$Z$2, "Win")</f>
        <v>14</v>
      </c>
      <c r="G4" s="1">
        <f>COUNTIF(Peter!$B$2:$Z$2, "Loss")</f>
        <v>8</v>
      </c>
      <c r="H4" s="25">
        <f>IF(E4&gt;0,F4/E4,0%)</f>
        <v>0.63636363636363635</v>
      </c>
      <c r="I4" s="1">
        <f>SUM(Peter!$B$3:$Z$3)</f>
        <v>198</v>
      </c>
      <c r="J4" s="1">
        <f>SUM(Peter!$B$4:$Z$4)</f>
        <v>112</v>
      </c>
      <c r="K4" s="1">
        <f>SUM(Peter!$B$5:$Z$5)</f>
        <v>103</v>
      </c>
      <c r="L4" s="24">
        <f>IF(NOT(J4 = 0), I4/J4, "perfect")</f>
        <v>1.7678571428571428</v>
      </c>
      <c r="M4" s="24">
        <f>IF(NOT(J4 = 0), (I4+K4)/J4, "perfect")</f>
        <v>2.6875</v>
      </c>
      <c r="N4" s="23">
        <f>IF($E4&gt;0,I4/$E4, 0)</f>
        <v>9</v>
      </c>
      <c r="O4" s="23">
        <f>IF($E4&gt;0,J4/$E4, 0)</f>
        <v>5.0909090909090908</v>
      </c>
      <c r="P4" s="23">
        <f>IF($E4&gt;0,K4/$E4, 0)</f>
        <v>4.6818181818181817</v>
      </c>
      <c r="Q4" s="1"/>
      <c r="R4" s="1"/>
    </row>
    <row r="5" spans="1:18" ht="15" x14ac:dyDescent="0.25">
      <c r="A5" s="1" t="s">
        <v>67</v>
      </c>
      <c r="B5" s="22">
        <f>C5+D5</f>
        <v>19.847222222222221</v>
      </c>
      <c r="C5" s="22">
        <f>IF(E5=0, 0, 0.5*(F5-G5+M5))</f>
        <v>3.8472222222222223</v>
      </c>
      <c r="D5" s="26">
        <v>16</v>
      </c>
      <c r="E5" s="1">
        <f>COUNTA(Stanley!$B$2:$Z$2)</f>
        <v>20</v>
      </c>
      <c r="F5" s="1">
        <f>COUNTIF(Stanley!$B$2:$Z$2, "Win")</f>
        <v>12</v>
      </c>
      <c r="G5" s="1">
        <f>COUNTIF(Stanley!$B$2:$Z$2, "Loss")</f>
        <v>8</v>
      </c>
      <c r="H5" s="25">
        <f>IF(E5&gt;0,F5/E5,0%)</f>
        <v>0.6</v>
      </c>
      <c r="I5" s="1">
        <f>SUM(Stanley!$B$3:$Z$3)</f>
        <v>94</v>
      </c>
      <c r="J5" s="1">
        <f>SUM(Stanley!$B$4:$Z$4)</f>
        <v>72</v>
      </c>
      <c r="K5" s="1">
        <f>SUM(Stanley!$B$5:$Z$5)</f>
        <v>172</v>
      </c>
      <c r="L5" s="24">
        <f>IF(NOT(J5 = 0), I5/J5, "perfect")</f>
        <v>1.3055555555555556</v>
      </c>
      <c r="M5" s="24">
        <f>IF(NOT(J5 = 0), (I5+K5)/J5, "perfect")</f>
        <v>3.6944444444444446</v>
      </c>
      <c r="N5" s="23">
        <f>IF($E5&gt;0,I5/$E5, 0)</f>
        <v>4.7</v>
      </c>
      <c r="O5" s="23">
        <f>IF($E5&gt;0,J5/$E5, 0)</f>
        <v>3.6</v>
      </c>
      <c r="P5" s="23">
        <f>IF($E5&gt;0,K5/$E5, 0)</f>
        <v>8.6</v>
      </c>
      <c r="Q5" s="1"/>
      <c r="R5" s="1"/>
    </row>
    <row r="6" spans="1:18" ht="15" x14ac:dyDescent="0.25">
      <c r="A6" s="1" t="s">
        <v>182</v>
      </c>
      <c r="B6" s="22">
        <f>C6+D6</f>
        <v>18.722222222222221</v>
      </c>
      <c r="C6" s="22">
        <f>IF(E6=0, 0, 0.5*(F6-G6+M6))</f>
        <v>1.7222222222222223</v>
      </c>
      <c r="D6" s="26">
        <v>17</v>
      </c>
      <c r="E6" s="1">
        <f>COUNTA(Jar!$B$2:$Z$2)</f>
        <v>3</v>
      </c>
      <c r="F6" s="1">
        <f>COUNTIF(Jar!$B$2:$Z$2, "Win")</f>
        <v>2</v>
      </c>
      <c r="G6" s="1">
        <f>COUNTIF(Jar!$B$2:$Z$2, "Loss")</f>
        <v>1</v>
      </c>
      <c r="H6" s="25">
        <f>IF(E6&gt;0,F6/E6,0%)</f>
        <v>0.66666666666666663</v>
      </c>
      <c r="I6" s="1">
        <f>SUM(Jar!$B$3:$Z$3)</f>
        <v>20</v>
      </c>
      <c r="J6" s="1">
        <f>SUM(Jar!$B$4:$Z$4)</f>
        <v>18</v>
      </c>
      <c r="K6" s="1">
        <f>SUM(Jar!$B$5:$Z$5)</f>
        <v>24</v>
      </c>
      <c r="L6" s="24">
        <f>IF(NOT(J6 = 0), I6/J6, "perfect")</f>
        <v>1.1111111111111112</v>
      </c>
      <c r="M6" s="24">
        <f>IF(NOT(J6 = 0), (I6+K6)/J6, "perfect")</f>
        <v>2.4444444444444446</v>
      </c>
      <c r="N6" s="23">
        <f>IF($E6&gt;0,I6/$E6, 0)</f>
        <v>6.666666666666667</v>
      </c>
      <c r="O6" s="23">
        <f>IF($E6&gt;0,J6/$E6, 0)</f>
        <v>6</v>
      </c>
      <c r="P6" s="23">
        <f>IF($E6&gt;0,K6/$E6, 0)</f>
        <v>8</v>
      </c>
      <c r="Q6" s="1"/>
      <c r="R6" s="1"/>
    </row>
    <row r="7" spans="1:18" ht="15" x14ac:dyDescent="0.25">
      <c r="A7" s="1" t="s">
        <v>60</v>
      </c>
      <c r="B7" s="22">
        <f>C7+D7</f>
        <v>18.632352941176471</v>
      </c>
      <c r="C7" s="22">
        <f>IF(E7=0, 0, 0.5*(F7-G7+M7))</f>
        <v>0.63235294117647056</v>
      </c>
      <c r="D7" s="26">
        <v>18</v>
      </c>
      <c r="E7" s="1">
        <f>COUNTA(Zach!$B$2:$Z$2)</f>
        <v>14</v>
      </c>
      <c r="F7" s="1">
        <f>COUNTIF(Zach!$B$2:$Z$2, "Win")</f>
        <v>6</v>
      </c>
      <c r="G7" s="1">
        <f>COUNTIF(Zach!$B$2:$Z$2, "Loss")</f>
        <v>8</v>
      </c>
      <c r="H7" s="25">
        <f>IF(E7&gt;0,F7/E7,0%)</f>
        <v>0.42857142857142855</v>
      </c>
      <c r="I7" s="1">
        <f>SUM(Zach!$B$3:$Z$3)</f>
        <v>82</v>
      </c>
      <c r="J7" s="1">
        <f>SUM(Zach!$B$4:$Z$4)</f>
        <v>68</v>
      </c>
      <c r="K7" s="1">
        <f>SUM(Zach!$B$5:$Z$5)</f>
        <v>140</v>
      </c>
      <c r="L7" s="24">
        <f>IF(NOT(J7 = 0), I7/J7, "perfect")</f>
        <v>1.2058823529411764</v>
      </c>
      <c r="M7" s="24">
        <f>IF(NOT(J7 = 0), (I7+K7)/J7, "perfect")</f>
        <v>3.2647058823529411</v>
      </c>
      <c r="N7" s="23">
        <f>IF($E7&gt;0,I7/$E7, 0)</f>
        <v>5.8571428571428568</v>
      </c>
      <c r="O7" s="23">
        <f>IF($E7&gt;0,J7/$E7, 0)</f>
        <v>4.8571428571428568</v>
      </c>
      <c r="P7" s="23">
        <f>IF($E7&gt;0,K7/$E7, 0)</f>
        <v>10</v>
      </c>
      <c r="Q7" s="1"/>
      <c r="R7" s="1"/>
    </row>
    <row r="8" spans="1:18" ht="15" x14ac:dyDescent="0.25">
      <c r="A8" s="1" t="s">
        <v>66</v>
      </c>
      <c r="B8" s="22">
        <f>C8+D8</f>
        <v>15.29326923076923</v>
      </c>
      <c r="C8" s="22">
        <f>IF(E8=0, 0, 0.5*(F8-G8+M8))</f>
        <v>1.2932692307692308</v>
      </c>
      <c r="D8" s="26">
        <v>14</v>
      </c>
      <c r="E8" s="1">
        <f>COUNTA(Dean!$B$2:$Z$2)</f>
        <v>22</v>
      </c>
      <c r="F8" s="1">
        <f>COUNTIF(Dean!$B$2:$Z$2, "Win")</f>
        <v>11</v>
      </c>
      <c r="G8" s="1">
        <f>COUNTIF(Dean!$B$2:$Z$2, "Loss")</f>
        <v>11</v>
      </c>
      <c r="H8" s="25">
        <f>IF(E8&gt;0,F8/E8,0%)</f>
        <v>0.5</v>
      </c>
      <c r="I8" s="1">
        <f>SUM(Dean!$B$3:$Z$3)</f>
        <v>120</v>
      </c>
      <c r="J8" s="1">
        <f>SUM(Dean!$B$4:$Z$4)</f>
        <v>104</v>
      </c>
      <c r="K8" s="1">
        <f>SUM(Dean!$B$5:$Z$5)</f>
        <v>149</v>
      </c>
      <c r="L8" s="24">
        <f>IF(NOT(J8 = 0), I8/J8, "perfect")</f>
        <v>1.1538461538461537</v>
      </c>
      <c r="M8" s="24">
        <f>IF(NOT(J8 = 0), (I8+K8)/J8, "perfect")</f>
        <v>2.5865384615384617</v>
      </c>
      <c r="N8" s="23">
        <f>IF($E8&gt;0,I8/$E8, 0)</f>
        <v>5.4545454545454541</v>
      </c>
      <c r="O8" s="23">
        <f>IF($E8&gt;0,J8/$E8, 0)</f>
        <v>4.7272727272727275</v>
      </c>
      <c r="P8" s="23">
        <f>IF($E8&gt;0,K8/$E8, 0)</f>
        <v>6.7727272727272725</v>
      </c>
      <c r="Q8" s="1"/>
      <c r="R8" s="1"/>
    </row>
    <row r="9" spans="1:18" ht="15" x14ac:dyDescent="0.25">
      <c r="A9" s="1" t="s">
        <v>72</v>
      </c>
      <c r="B9" s="22">
        <f>C9+D9</f>
        <v>15.285046728971963</v>
      </c>
      <c r="C9" s="22">
        <f>IF(E9=0, 0, 0.5*(F9-G9+M9))</f>
        <v>3.2850467289719627</v>
      </c>
      <c r="D9" s="26">
        <v>12</v>
      </c>
      <c r="E9" s="1">
        <f>COUNTA(Ian!$B$2:$Z$2)</f>
        <v>15</v>
      </c>
      <c r="F9" s="1">
        <f>COUNTIF(Ian!$B$2:$Z$2, "Win")</f>
        <v>10</v>
      </c>
      <c r="G9" s="1">
        <f>COUNTIF(Ian!$B$2:$Z$2, "Loss")</f>
        <v>5</v>
      </c>
      <c r="H9" s="25">
        <f>IF(E9&gt;0,F9/E9,0%)</f>
        <v>0.66666666666666663</v>
      </c>
      <c r="I9" s="1">
        <f>SUM(Ian!$B$3:$Z$3)</f>
        <v>66</v>
      </c>
      <c r="J9" s="1">
        <f>SUM(Ian!$B$4:$Z$4)</f>
        <v>107</v>
      </c>
      <c r="K9" s="1">
        <f>SUM(Ian!$B$5:$Z$5)</f>
        <v>102</v>
      </c>
      <c r="L9" s="24">
        <f>IF(NOT(J9 = 0), I9/J9, "perfect")</f>
        <v>0.61682242990654201</v>
      </c>
      <c r="M9" s="24">
        <f>IF(NOT(J9 = 0), (I9+K9)/J9, "perfect")</f>
        <v>1.5700934579439252</v>
      </c>
      <c r="N9" s="23">
        <f>IF($E9&gt;0,I9/$E9, 0)</f>
        <v>4.4000000000000004</v>
      </c>
      <c r="O9" s="23">
        <f>IF($E9&gt;0,J9/$E9, 0)</f>
        <v>7.1333333333333337</v>
      </c>
      <c r="P9" s="23">
        <f>IF($E9&gt;0,K9/$E9, 0)</f>
        <v>6.8</v>
      </c>
      <c r="Q9" s="1"/>
      <c r="R9" s="1"/>
    </row>
    <row r="10" spans="1:18" ht="15" x14ac:dyDescent="0.25">
      <c r="A10" s="1" t="s">
        <v>64</v>
      </c>
      <c r="B10" s="22">
        <f>C10+D10</f>
        <v>15.100806451612904</v>
      </c>
      <c r="C10" s="22">
        <f>IF(E10=0, 0, 0.5*(F10-G10+M10))</f>
        <v>0.10080645161290325</v>
      </c>
      <c r="D10" s="26">
        <v>15</v>
      </c>
      <c r="E10" s="1">
        <f>COUNTA(Miles!$B$2:$Z$2)</f>
        <v>22</v>
      </c>
      <c r="F10" s="1">
        <f>COUNTIF(Miles!$B$2:$Z$2, "Win")</f>
        <v>10</v>
      </c>
      <c r="G10" s="1">
        <f>COUNTIF(Miles!$B$2:$Z$2, "Loss")</f>
        <v>12</v>
      </c>
      <c r="H10" s="25">
        <f>IF(E10&gt;0,F10/E10,0%)</f>
        <v>0.45454545454545453</v>
      </c>
      <c r="I10" s="1">
        <f>SUM(Miles!$B$3:$Z$3)</f>
        <v>116</v>
      </c>
      <c r="J10" s="1">
        <f>SUM(Miles!$B$4:$Z$4)</f>
        <v>124</v>
      </c>
      <c r="K10" s="1">
        <f>SUM(Miles!$B$5:$Z$5)</f>
        <v>157</v>
      </c>
      <c r="L10" s="24">
        <f>IF(NOT(J10 = 0), I10/J10, "perfect")</f>
        <v>0.93548387096774188</v>
      </c>
      <c r="M10" s="24">
        <f>IF(NOT(J10 = 0), (I10+K10)/J10, "perfect")</f>
        <v>2.2016129032258065</v>
      </c>
      <c r="N10" s="23">
        <f>IF($E10&gt;0,I10/$E10, 0)</f>
        <v>5.2727272727272725</v>
      </c>
      <c r="O10" s="23">
        <f>IF($E10&gt;0,J10/$E10, 0)</f>
        <v>5.6363636363636367</v>
      </c>
      <c r="P10" s="23">
        <f>IF($E10&gt;0,K10/$E10, 0)</f>
        <v>7.1363636363636367</v>
      </c>
      <c r="Q10" s="1"/>
      <c r="R10" s="1"/>
    </row>
    <row r="11" spans="1:18" ht="15" x14ac:dyDescent="0.25">
      <c r="A11" s="1" t="s">
        <v>190</v>
      </c>
      <c r="B11" s="22">
        <f>C11+D11</f>
        <v>14.631578947368421</v>
      </c>
      <c r="C11" s="22">
        <f>IF(E11=0, 0, 0.5*(F11-G11+M11))</f>
        <v>1.631578947368421</v>
      </c>
      <c r="D11" s="26">
        <v>13</v>
      </c>
      <c r="E11" s="1">
        <f>COUNTA(ErikO!$B$2:$Z$2)</f>
        <v>12</v>
      </c>
      <c r="F11" s="1">
        <f>COUNTIF(ErikO!$B$2:$Z$2, "Win")</f>
        <v>6</v>
      </c>
      <c r="G11" s="1">
        <f>COUNTIF(ErikO!$B$2:$Z$2, "Loss")</f>
        <v>6</v>
      </c>
      <c r="H11" s="25">
        <f>IF(E11&gt;0,F11/E11,0%)</f>
        <v>0.5</v>
      </c>
      <c r="I11" s="1">
        <f>SUM(ErikO!$B$3:$Z$3)</f>
        <v>121</v>
      </c>
      <c r="J11" s="1">
        <f>SUM(ErikO!$B$4:$Z$4)</f>
        <v>57</v>
      </c>
      <c r="K11" s="1">
        <f>SUM(ErikO!$B$5:$Z$5)</f>
        <v>65</v>
      </c>
      <c r="L11" s="24">
        <f>IF(NOT(J11 = 0), I11/J11, "perfect")</f>
        <v>2.1228070175438596</v>
      </c>
      <c r="M11" s="24">
        <f>IF(NOT(J11 = 0), (I11+K11)/J11, "perfect")</f>
        <v>3.263157894736842</v>
      </c>
      <c r="N11" s="23">
        <f>IF($E11&gt;0,I11/$E11, 0)</f>
        <v>10.083333333333334</v>
      </c>
      <c r="O11" s="23">
        <f>IF($E11&gt;0,J11/$E11, 0)</f>
        <v>4.75</v>
      </c>
      <c r="P11" s="23">
        <f>IF($E11&gt;0,K11/$E11, 0)</f>
        <v>5.416666666666667</v>
      </c>
      <c r="Q11" s="1"/>
      <c r="R11" s="1"/>
    </row>
    <row r="12" spans="1:18" ht="15" x14ac:dyDescent="0.25">
      <c r="A12" s="1" t="s">
        <v>192</v>
      </c>
      <c r="B12" s="22">
        <f>C12+D12</f>
        <v>14</v>
      </c>
      <c r="C12" s="22">
        <f>IF(E12=0, 0, 0.5*(F12-G12+M12))</f>
        <v>0</v>
      </c>
      <c r="D12" s="26">
        <v>14</v>
      </c>
      <c r="E12" s="1">
        <f>COUNTA(Steven!$B$2:$Z$2)</f>
        <v>0</v>
      </c>
      <c r="F12" s="1">
        <f>COUNTIF(Steven!$B$2:$Z$2, "Win")</f>
        <v>0</v>
      </c>
      <c r="G12" s="1">
        <f>COUNTIF(Steven!$B$2:$Z$2, "Loss")</f>
        <v>0</v>
      </c>
      <c r="H12" s="25">
        <f>IF(E12&gt;0,F12/E12,0%)</f>
        <v>0</v>
      </c>
      <c r="I12" s="1">
        <f>SUM(Steven!$B$3:$Z$3)</f>
        <v>0</v>
      </c>
      <c r="J12" s="1">
        <f>SUM(Steven!$B$4:$Z$4)</f>
        <v>0</v>
      </c>
      <c r="K12" s="1">
        <f>SUM(Steven!$B$5:$Z$5)</f>
        <v>0</v>
      </c>
      <c r="L12" s="24" t="str">
        <f>IF(NOT(J12 = 0), I12/J12, "perfect")</f>
        <v>perfect</v>
      </c>
      <c r="M12" s="24" t="str">
        <f>IF(NOT(J12 = 0), (I12+K12)/J12, "perfect")</f>
        <v>perfect</v>
      </c>
      <c r="N12" s="23">
        <f>IF($E12&gt;0,I12/$E12, 0)</f>
        <v>0</v>
      </c>
      <c r="O12" s="23">
        <f>IF($E12&gt;0,J12/$E12, 0)</f>
        <v>0</v>
      </c>
      <c r="P12" s="23">
        <f>IF($E12&gt;0,K12/$E12, 0)</f>
        <v>0</v>
      </c>
      <c r="Q12" s="1"/>
      <c r="R12" s="1"/>
    </row>
    <row r="13" spans="1:18" ht="15" x14ac:dyDescent="0.25">
      <c r="A13" s="1" t="s">
        <v>57</v>
      </c>
      <c r="B13" s="22">
        <f>C13+D13</f>
        <v>13.7</v>
      </c>
      <c r="C13" s="22">
        <f>IF(E13=0, 0, 0.5*(F13-G13+M13))</f>
        <v>-1.3</v>
      </c>
      <c r="D13" s="26">
        <v>15</v>
      </c>
      <c r="E13" s="1">
        <f>COUNTA(Brendan!$B$2:$Z$2)</f>
        <v>4</v>
      </c>
      <c r="F13" s="1">
        <f>COUNTIF(Brendan!$B$2:$Z$2, "Win")</f>
        <v>0</v>
      </c>
      <c r="G13" s="1">
        <f>COUNTIF(Brendan!$B$2:$Z$2, "Loss")</f>
        <v>4</v>
      </c>
      <c r="H13" s="25">
        <f>IF(E13&gt;0,F13/E13,0%)</f>
        <v>0</v>
      </c>
      <c r="I13" s="1">
        <f>SUM(Brendan!$B$3:$Z$3)</f>
        <v>12</v>
      </c>
      <c r="J13" s="1">
        <f>SUM(Brendan!$B$4:$Z$4)</f>
        <v>15</v>
      </c>
      <c r="K13" s="1">
        <f>SUM(Brendan!$B$5:$Z$5)</f>
        <v>9</v>
      </c>
      <c r="L13" s="24">
        <f>IF(NOT(J13 = 0), I13/J13, "perfect")</f>
        <v>0.8</v>
      </c>
      <c r="M13" s="24">
        <f>IF(NOT(J13 = 0), (I13+K13)/J13, "perfect")</f>
        <v>1.4</v>
      </c>
      <c r="N13" s="23">
        <f>IF($E13&gt;0,I13/$E13, 0)</f>
        <v>3</v>
      </c>
      <c r="O13" s="23">
        <f>IF($E13&gt;0,J13/$E13, 0)</f>
        <v>3.75</v>
      </c>
      <c r="P13" s="23">
        <f>IF($E13&gt;0,K13/$E13, 0)</f>
        <v>2.25</v>
      </c>
      <c r="Q13" s="1"/>
      <c r="R13" s="1"/>
    </row>
    <row r="14" spans="1:18" ht="15" x14ac:dyDescent="0.25">
      <c r="A14" s="1" t="s">
        <v>193</v>
      </c>
      <c r="B14" s="22">
        <f>C14+D14</f>
        <v>13</v>
      </c>
      <c r="C14" s="22">
        <f>IF(E14=0, 0, 0.5*(F14-G14+M14))</f>
        <v>0</v>
      </c>
      <c r="D14" s="26">
        <v>13</v>
      </c>
      <c r="E14" s="1">
        <f>COUNTA(Garrett!$B$2:$Z$2)</f>
        <v>0</v>
      </c>
      <c r="F14" s="1">
        <f>COUNTIF(Garrett!$B$2:$Z$2, "Win")</f>
        <v>0</v>
      </c>
      <c r="G14" s="1">
        <f>COUNTIF(Garrett!$B$2:$Z$2, "Loss")</f>
        <v>0</v>
      </c>
      <c r="H14" s="25">
        <f>IF(E14&gt;0,F14/E14,0%)</f>
        <v>0</v>
      </c>
      <c r="I14" s="1">
        <f>SUM(Garrett!$B$3:$Z$3)</f>
        <v>0</v>
      </c>
      <c r="J14" s="1">
        <f>SUM(Garrett!$B$4:$Z$4)</f>
        <v>0</v>
      </c>
      <c r="K14" s="1">
        <f>SUM(Garrett!$B$5:$Z$5)</f>
        <v>0</v>
      </c>
      <c r="L14" s="24" t="str">
        <f>IF(NOT(J14 = 0), I14/J14, "perfect")</f>
        <v>perfect</v>
      </c>
      <c r="M14" s="24" t="str">
        <f>IF(NOT(J14 = 0), (I14+K14)/J14, "perfect")</f>
        <v>perfect</v>
      </c>
      <c r="N14" s="23">
        <f>IF($E14&gt;0,I14/$E14, 0)</f>
        <v>0</v>
      </c>
      <c r="O14" s="23">
        <f>IF($E14&gt;0,J14/$E14, 0)</f>
        <v>0</v>
      </c>
      <c r="P14" s="23">
        <f>IF($E14&gt;0,K14/$E14, 0)</f>
        <v>0</v>
      </c>
      <c r="Q14" s="1"/>
      <c r="R14" s="1"/>
    </row>
    <row r="15" spans="1:18" ht="15" x14ac:dyDescent="0.25">
      <c r="A15" s="1" t="s">
        <v>62</v>
      </c>
      <c r="B15" s="22">
        <f>C15+D15</f>
        <v>12.45</v>
      </c>
      <c r="C15" s="22">
        <f>IF(E15=0, 0, 0.5*(F15-G15+M15))</f>
        <v>-0.55000000000000004</v>
      </c>
      <c r="D15" s="26">
        <v>13</v>
      </c>
      <c r="E15" s="1">
        <f>COUNTA(Sean!$B$2:$Z$2)</f>
        <v>5</v>
      </c>
      <c r="F15" s="1">
        <f>COUNTIF(Sean!$B$2:$Z$2, "Win")</f>
        <v>1</v>
      </c>
      <c r="G15" s="1">
        <f>COUNTIF(Sean!$B$2:$Z$2, "Loss")</f>
        <v>4</v>
      </c>
      <c r="H15" s="25">
        <f>IF(E15&gt;0,F15/E15,0%)</f>
        <v>0.2</v>
      </c>
      <c r="I15" s="1">
        <f>SUM(Sean!$B$3:$Z$3)</f>
        <v>11</v>
      </c>
      <c r="J15" s="1">
        <f>SUM(Sean!$B$4:$Z$4)</f>
        <v>30</v>
      </c>
      <c r="K15" s="1">
        <f>SUM(Sean!$B$5:$Z$5)</f>
        <v>46</v>
      </c>
      <c r="L15" s="24">
        <f>IF(NOT(J15 = 0), I15/J15, "perfect")</f>
        <v>0.36666666666666664</v>
      </c>
      <c r="M15" s="24">
        <f>IF(NOT(J15 = 0), (I15+K15)/J15, "perfect")</f>
        <v>1.9</v>
      </c>
      <c r="N15" s="23">
        <f>IF($E15&gt;0,I15/$E15, 0)</f>
        <v>2.2000000000000002</v>
      </c>
      <c r="O15" s="23">
        <f>IF($E15&gt;0,J15/$E15, 0)</f>
        <v>6</v>
      </c>
      <c r="P15" s="23">
        <f>IF($E15&gt;0,K15/$E15, 0)</f>
        <v>9.1999999999999993</v>
      </c>
      <c r="Q15" s="1"/>
      <c r="R15" s="1"/>
    </row>
    <row r="16" spans="1:18" ht="15" x14ac:dyDescent="0.25">
      <c r="A16" s="1" t="s">
        <v>191</v>
      </c>
      <c r="B16" s="22">
        <f>C16+D16</f>
        <v>12</v>
      </c>
      <c r="C16" s="22">
        <f>IF(E16=0, 0, 0.5*(F16-G16+M16))</f>
        <v>0</v>
      </c>
      <c r="D16" s="26">
        <v>12</v>
      </c>
      <c r="E16" s="1">
        <f>COUNTA(ErikY!$B$2:$Z$2)</f>
        <v>0</v>
      </c>
      <c r="F16" s="1">
        <f>COUNTIF(ErikY!$B$2:$Z$2, "Win")</f>
        <v>0</v>
      </c>
      <c r="G16" s="1">
        <f>COUNTIF(ErikY!$B$2:$Z$2, "Loss")</f>
        <v>0</v>
      </c>
      <c r="H16" s="25">
        <f>IF(E16&gt;0,F16/E16,0%)</f>
        <v>0</v>
      </c>
      <c r="I16" s="1">
        <f>SUM(ErikY!$B$3:$Z$3)</f>
        <v>0</v>
      </c>
      <c r="J16" s="1">
        <f>SUM(ErikY!$B$4:$Z$4)</f>
        <v>0</v>
      </c>
      <c r="K16" s="1">
        <f>SUM(ErikY!$B$5:$Z$5)</f>
        <v>0</v>
      </c>
      <c r="L16" s="24" t="str">
        <f>IF(NOT(J16 = 0), I16/J16, "perfect")</f>
        <v>perfect</v>
      </c>
      <c r="M16" s="24" t="str">
        <f>IF(NOT(J16 = 0), (I16+K16)/J16, "perfect")</f>
        <v>perfect</v>
      </c>
      <c r="N16" s="23">
        <f>IF($E16&gt;0,I16/$E16, 0)</f>
        <v>0</v>
      </c>
      <c r="O16" s="23">
        <f>IF($E16&gt;0,J16/$E16, 0)</f>
        <v>0</v>
      </c>
      <c r="P16" s="23">
        <f>IF($E16&gt;0,K16/$E16, 0)</f>
        <v>0</v>
      </c>
      <c r="Q16" s="1"/>
      <c r="R16" s="1"/>
    </row>
    <row r="17" spans="1:18" ht="15" x14ac:dyDescent="0.25">
      <c r="A17" s="1" t="s">
        <v>68</v>
      </c>
      <c r="B17" s="22">
        <f>C17+D17</f>
        <v>11.416666666666666</v>
      </c>
      <c r="C17" s="22">
        <f>IF(E17=0, 0, 0.5*(F17-G17+M17))</f>
        <v>1.4166666666666665</v>
      </c>
      <c r="D17" s="26">
        <v>10</v>
      </c>
      <c r="E17" s="1">
        <f>COUNTA(Manny!$B$2:$Z$2)</f>
        <v>5</v>
      </c>
      <c r="F17" s="1">
        <f>COUNTIF(Manny!$B$2:$Z$2, "Win")</f>
        <v>3</v>
      </c>
      <c r="G17" s="1">
        <f>COUNTIF(Manny!$B$2:$Z$2, "Loss")</f>
        <v>2</v>
      </c>
      <c r="H17" s="25">
        <f>IF(E17&gt;0,F17/E17,0%)</f>
        <v>0.6</v>
      </c>
      <c r="I17" s="1">
        <f>SUM(Manny!$B$3:$Z$3)</f>
        <v>14</v>
      </c>
      <c r="J17" s="1">
        <f>SUM(Manny!$B$4:$Z$4)</f>
        <v>30</v>
      </c>
      <c r="K17" s="1">
        <f>SUM(Manny!$B$5:$Z$5)</f>
        <v>41</v>
      </c>
      <c r="L17" s="24">
        <f>IF(NOT(J17 = 0), I17/J17, "perfect")</f>
        <v>0.46666666666666667</v>
      </c>
      <c r="M17" s="24">
        <f>IF(NOT(J17 = 0), (I17+K17)/J17, "perfect")</f>
        <v>1.8333333333333333</v>
      </c>
      <c r="N17" s="23">
        <f>IF($E17&gt;0,I17/$E17, 0)</f>
        <v>2.8</v>
      </c>
      <c r="O17" s="23">
        <f>IF($E17&gt;0,J17/$E17, 0)</f>
        <v>6</v>
      </c>
      <c r="P17" s="23">
        <f>IF($E17&gt;0,K17/$E17, 0)</f>
        <v>8.1999999999999993</v>
      </c>
      <c r="Q17" s="1"/>
      <c r="R17" s="1"/>
    </row>
    <row r="18" spans="1:18" ht="15" x14ac:dyDescent="0.25">
      <c r="A18" s="1" t="s">
        <v>61</v>
      </c>
      <c r="B18" s="22">
        <f>C18+D18</f>
        <v>11.412790697674419</v>
      </c>
      <c r="C18" s="22">
        <f>IF(E18=0, 0, 0.5*(F18-G18+M18))</f>
        <v>-0.58720930232558144</v>
      </c>
      <c r="D18" s="26">
        <v>12</v>
      </c>
      <c r="E18" s="1">
        <f>COUNTA(David!$B$2:$Z$2)</f>
        <v>15</v>
      </c>
      <c r="F18" s="1">
        <f>COUNTIF(David!$B$2:$Z$2, "Win")</f>
        <v>6</v>
      </c>
      <c r="G18" s="1">
        <f>COUNTIF(David!$B$2:$Z$2, "Loss")</f>
        <v>9</v>
      </c>
      <c r="H18" s="25">
        <f>IF(E18&gt;0,F18/E18,0%)</f>
        <v>0.4</v>
      </c>
      <c r="I18" s="1">
        <f>SUM(David!$B$3:$Z$3)</f>
        <v>68</v>
      </c>
      <c r="J18" s="1">
        <f>SUM(David!$B$4:$Z$4)</f>
        <v>86</v>
      </c>
      <c r="K18" s="1">
        <f>SUM(David!$B$5:$Z$5)</f>
        <v>89</v>
      </c>
      <c r="L18" s="24">
        <f>IF(NOT(J18 = 0), I18/J18, "perfect")</f>
        <v>0.79069767441860461</v>
      </c>
      <c r="M18" s="24">
        <f>IF(NOT(J18 = 0), (I18+K18)/J18, "perfect")</f>
        <v>1.8255813953488371</v>
      </c>
      <c r="N18" s="23">
        <f>IF($E18&gt;0,I18/$E18, 0)</f>
        <v>4.5333333333333332</v>
      </c>
      <c r="O18" s="23">
        <f>IF($E18&gt;0,J18/$E18, 0)</f>
        <v>5.7333333333333334</v>
      </c>
      <c r="P18" s="23">
        <f>IF($E18&gt;0,K18/$E18, 0)</f>
        <v>5.9333333333333336</v>
      </c>
      <c r="Q18" s="1"/>
      <c r="R18" s="1"/>
    </row>
    <row r="19" spans="1:18" ht="15" x14ac:dyDescent="0.25">
      <c r="A19" s="1" t="s">
        <v>176</v>
      </c>
      <c r="B19" s="22">
        <f>C19+D19</f>
        <v>11</v>
      </c>
      <c r="C19" s="22">
        <f>IF(E19=0, 0, 0.5*(F19-G19+M19))</f>
        <v>3</v>
      </c>
      <c r="D19" s="26">
        <v>8</v>
      </c>
      <c r="E19" s="1">
        <f>COUNTA(Dan!$B$2:$Z$2)</f>
        <v>2</v>
      </c>
      <c r="F19" s="1">
        <f>COUNTIF(Dan!$B$2:$Z$2, "Win")</f>
        <v>2</v>
      </c>
      <c r="G19" s="1">
        <f>COUNTIF(Dan!$B$2:$Z$2, "Loss")</f>
        <v>0</v>
      </c>
      <c r="H19" s="25">
        <f>IF(E19&gt;0,F19/E19,0%)</f>
        <v>1</v>
      </c>
      <c r="I19" s="1">
        <f>SUM(Dan!$B$3:$Z$3)</f>
        <v>2</v>
      </c>
      <c r="J19" s="1">
        <f>SUM(Dan!$B$4:$Z$4)</f>
        <v>7</v>
      </c>
      <c r="K19" s="1">
        <f>SUM(Dan!$B$5:$Z$5)</f>
        <v>26</v>
      </c>
      <c r="L19" s="24">
        <f>IF(NOT(J19 = 0), I19/J19, "perfect")</f>
        <v>0.2857142857142857</v>
      </c>
      <c r="M19" s="24">
        <f>IF(NOT(J19 = 0), (I19+K19)/J19, "perfect")</f>
        <v>4</v>
      </c>
      <c r="N19" s="23">
        <f>IF($E19&gt;0,I19/$E19, 0)</f>
        <v>1</v>
      </c>
      <c r="O19" s="23">
        <f>IF($E19&gt;0,J19/$E19, 0)</f>
        <v>3.5</v>
      </c>
      <c r="P19" s="23">
        <f>IF($E19&gt;0,K19/$E19, 0)</f>
        <v>13</v>
      </c>
      <c r="Q19" s="1"/>
      <c r="R19" s="1"/>
    </row>
    <row r="20" spans="1:18" ht="15" x14ac:dyDescent="0.25">
      <c r="A20" s="1" t="s">
        <v>58</v>
      </c>
      <c r="B20" s="22">
        <f>C20+D20</f>
        <v>10</v>
      </c>
      <c r="C20" s="22">
        <f>IF(E20=0, 0, 0.5*(F20-G20+M20))</f>
        <v>0</v>
      </c>
      <c r="D20" s="26">
        <v>10</v>
      </c>
      <c r="E20" s="1">
        <f>COUNTA(Rhys!$B$2:$Z$2)</f>
        <v>0</v>
      </c>
      <c r="F20" s="1">
        <f>COUNTIF(Rhys!$B$2:$Z$2, "Win")</f>
        <v>0</v>
      </c>
      <c r="G20" s="1">
        <f>COUNTIF(Rhys!$B$2:$Z$2, "Loss")</f>
        <v>0</v>
      </c>
      <c r="H20" s="25">
        <f>IF(E20&gt;0,F20/E20,0%)</f>
        <v>0</v>
      </c>
      <c r="I20" s="1">
        <f>SUM(Rhys!$B$3:$Z$3)</f>
        <v>0</v>
      </c>
      <c r="J20" s="1">
        <f>SUM(Rhys!$B$4:$Z$4)</f>
        <v>0</v>
      </c>
      <c r="K20" s="1">
        <f>SUM(Rhys!$B$5:$Z$5)</f>
        <v>0</v>
      </c>
      <c r="L20" s="24" t="str">
        <f>IF(NOT(J20 = 0), I20/J20, "perfect")</f>
        <v>perfect</v>
      </c>
      <c r="M20" s="24" t="str">
        <f>IF(NOT(J20 = 0), (I20+K20)/J20, "perfect")</f>
        <v>perfect</v>
      </c>
      <c r="N20" s="23">
        <f>IF($E20&gt;0,I20/$E20, 0)</f>
        <v>0</v>
      </c>
      <c r="O20" s="23">
        <f>IF($E20&gt;0,J20/$E20, 0)</f>
        <v>0</v>
      </c>
      <c r="P20" s="23">
        <f>IF($E20&gt;0,K20/$E20, 0)</f>
        <v>0</v>
      </c>
      <c r="Q20" s="1"/>
      <c r="R20" s="1"/>
    </row>
    <row r="21" spans="1:18" ht="15" x14ac:dyDescent="0.25">
      <c r="A21" s="1" t="s">
        <v>174</v>
      </c>
      <c r="B21" s="22">
        <f>C21+D21</f>
        <v>9.5666666666666664</v>
      </c>
      <c r="C21" s="22">
        <f>IF(E21=0, 0, 0.5*(F21-G21+M21))</f>
        <v>-0.43333333333333335</v>
      </c>
      <c r="D21" s="26">
        <v>10</v>
      </c>
      <c r="E21" s="1">
        <f>COUNTA(Blake!$B$2:$Z$2)</f>
        <v>2</v>
      </c>
      <c r="F21" s="1">
        <f>COUNTIF(Blake!$B$2:$Z$2, "Win")</f>
        <v>0</v>
      </c>
      <c r="G21" s="1">
        <f>COUNTIF(Blake!$B$2:$Z$2, "Loss")</f>
        <v>2</v>
      </c>
      <c r="H21" s="25">
        <f>IF(E21&gt;0,F21/E21,0%)</f>
        <v>0</v>
      </c>
      <c r="I21" s="1">
        <f>SUM(Blake!$B$3:$Z$3)</f>
        <v>5</v>
      </c>
      <c r="J21" s="1">
        <f>SUM(Blake!$B$4:$Z$4)</f>
        <v>15</v>
      </c>
      <c r="K21" s="1">
        <f>SUM(Blake!$B$5:$Z$5)</f>
        <v>12</v>
      </c>
      <c r="L21" s="24">
        <f>IF(NOT(J21 = 0), I21/J21, "perfect")</f>
        <v>0.33333333333333331</v>
      </c>
      <c r="M21" s="24">
        <f>IF(NOT(J21 = 0), (I21+K21)/J21, "perfect")</f>
        <v>1.1333333333333333</v>
      </c>
      <c r="N21" s="23">
        <f>IF($E21&gt;0,I21/$E21, 0)</f>
        <v>2.5</v>
      </c>
      <c r="O21" s="23">
        <f>IF($E21&gt;0,J21/$E21, 0)</f>
        <v>7.5</v>
      </c>
      <c r="P21" s="23">
        <f>IF($E21&gt;0,K21/$E21, 0)</f>
        <v>6</v>
      </c>
      <c r="Q21" s="1"/>
      <c r="R21" s="1"/>
    </row>
    <row r="22" spans="1:18" ht="15" x14ac:dyDescent="0.25">
      <c r="A22" s="1" t="s">
        <v>73</v>
      </c>
      <c r="B22" s="22">
        <f>C22+D22</f>
        <v>8.6964285714285712</v>
      </c>
      <c r="C22" s="22">
        <f>IF(E22=0, 0, 0.5*(F22-G22+M22))</f>
        <v>1.6964285714285714</v>
      </c>
      <c r="D22" s="26">
        <v>7</v>
      </c>
      <c r="E22" s="1">
        <f>COUNTA(Mimi!$B$2:$Z$2)</f>
        <v>8</v>
      </c>
      <c r="F22" s="1">
        <f>COUNTIF(Mimi!$B$2:$Z$2, "Win")</f>
        <v>4</v>
      </c>
      <c r="G22" s="1">
        <f>COUNTIF(Mimi!$B$2:$Z$2, "Loss")</f>
        <v>4</v>
      </c>
      <c r="H22" s="25">
        <f>IF(E22&gt;0,F22/E22,0%)</f>
        <v>0.5</v>
      </c>
      <c r="I22" s="1">
        <f>SUM(Mimi!$B$3:$Z$3)</f>
        <v>15</v>
      </c>
      <c r="J22" s="1">
        <f>SUM(Mimi!$B$4:$Z$4)</f>
        <v>28</v>
      </c>
      <c r="K22" s="1">
        <f>SUM(Mimi!$B$5:$Z$5)</f>
        <v>80</v>
      </c>
      <c r="L22" s="24">
        <f>IF(NOT(J22 = 0), I22/J22, "perfect")</f>
        <v>0.5357142857142857</v>
      </c>
      <c r="M22" s="24">
        <f>IF(NOT(J22 = 0), (I22+K22)/J22, "perfect")</f>
        <v>3.3928571428571428</v>
      </c>
      <c r="N22" s="23">
        <f>IF($E22&gt;0,I22/$E22, 0)</f>
        <v>1.875</v>
      </c>
      <c r="O22" s="23">
        <f>IF($E22&gt;0,J22/$E22, 0)</f>
        <v>3.5</v>
      </c>
      <c r="P22" s="23">
        <f>IF($E22&gt;0,K22/$E22, 0)</f>
        <v>10</v>
      </c>
      <c r="Q22" s="1"/>
      <c r="R22" s="1"/>
    </row>
    <row r="23" spans="1:18" ht="15" x14ac:dyDescent="0.25">
      <c r="A23" s="1" t="s">
        <v>59</v>
      </c>
      <c r="B23" s="22">
        <f>C23+D23</f>
        <v>8</v>
      </c>
      <c r="C23" s="22">
        <f>IF(E23=0, 0, 0.5*(F23-G23+M23))</f>
        <v>0</v>
      </c>
      <c r="D23" s="26">
        <v>8</v>
      </c>
      <c r="E23" s="1">
        <f>COUNTA(Darius!$B$2:$Z$2)</f>
        <v>0</v>
      </c>
      <c r="F23" s="1">
        <f>COUNTIF(Darius!$B$2:$Z$2, "Win")</f>
        <v>0</v>
      </c>
      <c r="G23" s="1">
        <f>COUNTIF(Darius!$B$2:$Z$2, "Loss")</f>
        <v>0</v>
      </c>
      <c r="H23" s="25">
        <f>IF(E23&gt;0,F23/E23,0%)</f>
        <v>0</v>
      </c>
      <c r="I23" s="1">
        <f>SUM(Darius!$B$3:$Z$3)</f>
        <v>0</v>
      </c>
      <c r="J23" s="1">
        <f>SUM(Darius!$B$4:$Z$4)</f>
        <v>0</v>
      </c>
      <c r="K23" s="1">
        <f>SUM(Darius!$B$5:$Z$5)</f>
        <v>0</v>
      </c>
      <c r="L23" s="24" t="str">
        <f>IF(NOT(J23 = 0), I23/J23, "perfect")</f>
        <v>perfect</v>
      </c>
      <c r="M23" s="24" t="str">
        <f>IF(NOT(J23 = 0), (I23+K23)/J23, "perfect")</f>
        <v>perfect</v>
      </c>
      <c r="N23" s="23">
        <f>IF($E23&gt;0,I23/$E23, 0)</f>
        <v>0</v>
      </c>
      <c r="O23" s="23">
        <f>IF($E23&gt;0,J23/$E23, 0)</f>
        <v>0</v>
      </c>
      <c r="P23" s="23">
        <f>IF($E23&gt;0,K23/$E23, 0)</f>
        <v>0</v>
      </c>
      <c r="Q23" s="1"/>
      <c r="R23" s="1"/>
    </row>
    <row r="24" spans="1:18" ht="15.75" customHeight="1" x14ac:dyDescent="0.25">
      <c r="A24" s="1" t="s">
        <v>65</v>
      </c>
      <c r="B24" s="22">
        <f>C24+D24</f>
        <v>7.3787878787878789</v>
      </c>
      <c r="C24" s="22">
        <f>IF(E24=0, 0, 0.5*(F24-G24+M24))</f>
        <v>1.3787878787878789</v>
      </c>
      <c r="D24" s="26">
        <v>6</v>
      </c>
      <c r="E24" s="1">
        <f>COUNTA(Iris!$B$2:$Z$2)</f>
        <v>8</v>
      </c>
      <c r="F24" s="1">
        <f>COUNTIF(Iris!$B$2:$Z$2, "Win")</f>
        <v>4</v>
      </c>
      <c r="G24" s="1">
        <f>COUNTIF(Iris!$B$2:$Z$2, "Loss")</f>
        <v>4</v>
      </c>
      <c r="H24" s="25">
        <f>IF(E24&gt;0,F24/E24,0%)</f>
        <v>0.5</v>
      </c>
      <c r="I24" s="1">
        <f>SUM(Iris!$B$3:$Z$3)</f>
        <v>7</v>
      </c>
      <c r="J24" s="1">
        <f>SUM(Iris!$B$4:$Z$4)</f>
        <v>33</v>
      </c>
      <c r="K24" s="1">
        <f>SUM(Iris!$B$5:$Z$5)</f>
        <v>84</v>
      </c>
      <c r="L24" s="24">
        <f>IF(NOT(J24 = 0), I24/J24, "perfect")</f>
        <v>0.21212121212121213</v>
      </c>
      <c r="M24" s="24">
        <f>IF(NOT(J24 = 0), (I24+K24)/J24, "perfect")</f>
        <v>2.7575757575757578</v>
      </c>
      <c r="N24" s="23">
        <f>IF($E24&gt;0,I24/$E24, 0)</f>
        <v>0.875</v>
      </c>
      <c r="O24" s="23">
        <f>IF($E24&gt;0,J24/$E24, 0)</f>
        <v>4.125</v>
      </c>
      <c r="P24" s="23">
        <f>IF($E24&gt;0,K24/$E24, 0)</f>
        <v>10.5</v>
      </c>
      <c r="Q24" s="1"/>
      <c r="R24" s="1"/>
    </row>
    <row r="25" spans="1:18" ht="15.75" customHeight="1" x14ac:dyDescent="0.25">
      <c r="A25" s="1" t="s">
        <v>56</v>
      </c>
      <c r="B25" s="22">
        <f>C25+D25</f>
        <v>6.4615384615384617</v>
      </c>
      <c r="C25" s="22">
        <f>IF(E25=0, 0, 0.5*(F25-G25+M25))</f>
        <v>-0.53846153846153844</v>
      </c>
      <c r="D25" s="26">
        <v>7</v>
      </c>
      <c r="E25" s="1">
        <f>COUNTA(Fabian!$B$2:$Z$2)</f>
        <v>2</v>
      </c>
      <c r="F25" s="1">
        <f>COUNTIF(Fabian!$B$2:$Z$2, "Win")</f>
        <v>0</v>
      </c>
      <c r="G25" s="1">
        <f>COUNTIF(Fabian!$B$2:$Z$2, "Loss")</f>
        <v>2</v>
      </c>
      <c r="H25" s="25">
        <f>IF(E25&gt;0,F25/E25,0%)</f>
        <v>0</v>
      </c>
      <c r="I25" s="1">
        <f>SUM(Fabian!$B$3:$Z$3)</f>
        <v>4</v>
      </c>
      <c r="J25" s="1">
        <f>SUM(Fabian!$B$4:$Z$4)</f>
        <v>13</v>
      </c>
      <c r="K25" s="1">
        <f>SUM(Fabian!$B$5:$Z$5)</f>
        <v>8</v>
      </c>
      <c r="L25" s="24">
        <f>IF(NOT(J25 = 0), I25/J25, "perfect")</f>
        <v>0.30769230769230771</v>
      </c>
      <c r="M25" s="24">
        <f>IF(NOT(J25 = 0), (I25+K25)/J25, "perfect")</f>
        <v>0.92307692307692313</v>
      </c>
      <c r="N25" s="23">
        <f>IF($E25&gt;0,I25/$E25, 0)</f>
        <v>2</v>
      </c>
      <c r="O25" s="23">
        <f>IF($E25&gt;0,J25/$E25, 0)</f>
        <v>6.5</v>
      </c>
      <c r="P25" s="23">
        <f>IF($E25&gt;0,K25/$E25, 0)</f>
        <v>4</v>
      </c>
    </row>
    <row r="26" spans="1:18" ht="15.75" customHeight="1" x14ac:dyDescent="0.25">
      <c r="A26" s="1" t="s">
        <v>175</v>
      </c>
      <c r="B26" s="22">
        <f>C26+D26</f>
        <v>6.25</v>
      </c>
      <c r="C26" s="22">
        <f>IF(E26=0, 0, 0.5*(F26-G26+M26))</f>
        <v>-0.75</v>
      </c>
      <c r="D26" s="26">
        <v>7</v>
      </c>
      <c r="E26" s="1">
        <f>COUNTA(PsychoCarrot!$B$2:$Z$2)</f>
        <v>5</v>
      </c>
      <c r="F26" s="1">
        <f>COUNTIF(PsychoCarrot!$B$2:$Z$2, "Win")</f>
        <v>1</v>
      </c>
      <c r="G26" s="1">
        <f>COUNTIF(PsychoCarrot!$B$2:$Z$2, "Loss")</f>
        <v>4</v>
      </c>
      <c r="H26" s="25">
        <f>IF(E26&gt;0,F26/E26,0%)</f>
        <v>0.2</v>
      </c>
      <c r="I26" s="1">
        <f>SUM(PsychoCarrot!$B$3:$Z$3)</f>
        <v>13</v>
      </c>
      <c r="J26" s="1">
        <f>SUM(PsychoCarrot!$B$4:$Z$4)</f>
        <v>38</v>
      </c>
      <c r="K26" s="1">
        <f>SUM(PsychoCarrot!$B$5:$Z$5)</f>
        <v>44</v>
      </c>
      <c r="L26" s="24">
        <f>IF(NOT(J26 = 0), I26/J26, "perfect")</f>
        <v>0.34210526315789475</v>
      </c>
      <c r="M26" s="24">
        <f>IF(NOT(J26 = 0), (I26+K26)/J26, "perfect")</f>
        <v>1.5</v>
      </c>
      <c r="N26" s="23">
        <f>IF($E26&gt;0,I26/$E26, 0)</f>
        <v>2.6</v>
      </c>
      <c r="O26" s="23">
        <f>IF($E26&gt;0,J26/$E26, 0)</f>
        <v>7.6</v>
      </c>
      <c r="P26" s="23">
        <f>IF($E26&gt;0,K26/$E26, 0)</f>
        <v>8.8000000000000007</v>
      </c>
    </row>
    <row r="27" spans="1:18" ht="15.75" customHeight="1" x14ac:dyDescent="0.25">
      <c r="A27" s="1" t="s">
        <v>151</v>
      </c>
      <c r="B27" s="22">
        <f>C27+D27</f>
        <v>5.34375</v>
      </c>
      <c r="C27" s="22">
        <f>IF(E27=0, 0, 0.5*(F27-G27+M27))</f>
        <v>0.34375</v>
      </c>
      <c r="D27" s="26">
        <v>5</v>
      </c>
      <c r="E27" s="1">
        <f>COUNTA(Gabby!$B$2:$Z$2)</f>
        <v>6</v>
      </c>
      <c r="F27" s="1">
        <f>COUNTIF(Gabby!$B$2:$Z$2, "Win")</f>
        <v>2</v>
      </c>
      <c r="G27" s="1">
        <f>COUNTIF(Gabby!$B$2:$Z$2, "Loss")</f>
        <v>4</v>
      </c>
      <c r="H27" s="25">
        <f>IF(E27&gt;0,F27/E27,0%)</f>
        <v>0.33333333333333331</v>
      </c>
      <c r="I27" s="1">
        <f>SUM(Gabby!$B$3:$Z$3)</f>
        <v>12</v>
      </c>
      <c r="J27" s="1">
        <f>SUM(Gabby!$B$4:$Z$4)</f>
        <v>16</v>
      </c>
      <c r="K27" s="1">
        <f>SUM(Gabby!$B$5:$Z$5)</f>
        <v>31</v>
      </c>
      <c r="L27" s="24">
        <f>IF(NOT(J27 = 0), I27/J27, "perfect")</f>
        <v>0.75</v>
      </c>
      <c r="M27" s="24">
        <f>IF(NOT(J27 = 0), (I27+K27)/J27, "perfect")</f>
        <v>2.6875</v>
      </c>
      <c r="N27" s="23">
        <f>IF($E27&gt;0,I27/$E27, 0)</f>
        <v>2</v>
      </c>
      <c r="O27" s="23">
        <f>IF($E27&gt;0,J27/$E27, 0)</f>
        <v>2.6666666666666665</v>
      </c>
      <c r="P27" s="23">
        <f>IF($E27&gt;0,K27/$E27, 0)</f>
        <v>5.166666666666667</v>
      </c>
    </row>
    <row r="30" spans="1:18" ht="15.75" customHeight="1" x14ac:dyDescent="0.2">
      <c r="C30" s="29"/>
    </row>
  </sheetData>
  <autoFilter ref="A1:P20" xr:uid="{00000000-0009-0000-0000-000001000000}">
    <sortState xmlns:xlrd2="http://schemas.microsoft.com/office/spreadsheetml/2017/richdata2" ref="A2:P27">
      <sortCondition descending="1" ref="B1:B2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57DB-4C35-4025-8FF0-DAA01A0EA54F}">
  <sheetPr codeName="Sheet3">
    <outlinePr summaryBelow="0" summaryRight="0"/>
  </sheetPr>
  <dimension ref="A1:AD10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" width="4.42578125" style="2" customWidth="1"/>
    <col min="2" max="2" width="10.85546875" style="2" customWidth="1"/>
    <col min="3" max="3" width="14.42578125" style="2"/>
    <col min="4" max="4" width="16.42578125" style="2" customWidth="1"/>
    <col min="5" max="5" width="15.85546875" style="2" customWidth="1"/>
    <col min="6" max="6" width="22.140625" style="2" customWidth="1"/>
    <col min="7" max="7" width="18.42578125" style="2" customWidth="1"/>
    <col min="8" max="8" width="25.140625" style="2" customWidth="1"/>
    <col min="9" max="9" width="21.5703125" style="2" customWidth="1"/>
    <col min="10" max="10" width="17" style="2" customWidth="1"/>
    <col min="11" max="11" width="17.7109375" style="2" customWidth="1"/>
    <col min="12" max="16384" width="14.42578125" style="2"/>
  </cols>
  <sheetData>
    <row r="1" spans="1:30" ht="10.5" customHeight="1" x14ac:dyDescent="0.2">
      <c r="E1" s="3"/>
    </row>
    <row r="2" spans="1:30" ht="12.75" x14ac:dyDescent="0.2">
      <c r="E2" s="3"/>
    </row>
    <row r="3" spans="1:30" ht="25.5" x14ac:dyDescent="0.2">
      <c r="A3" s="3"/>
      <c r="B3" s="11" t="s">
        <v>55</v>
      </c>
      <c r="C3" s="11" t="s">
        <v>54</v>
      </c>
      <c r="D3" s="8" t="s">
        <v>53</v>
      </c>
      <c r="E3" s="11" t="s">
        <v>52</v>
      </c>
      <c r="F3" s="8"/>
      <c r="G3" s="11" t="s">
        <v>51</v>
      </c>
      <c r="H3" s="8"/>
      <c r="I3" s="11" t="s">
        <v>50</v>
      </c>
      <c r="J3" s="8"/>
      <c r="K3" s="8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x14ac:dyDescent="0.2">
      <c r="A4" s="16"/>
      <c r="B4" s="5">
        <v>1</v>
      </c>
      <c r="C4" s="15">
        <v>44155</v>
      </c>
      <c r="D4" s="5">
        <v>1</v>
      </c>
      <c r="E4" s="5" t="s">
        <v>40</v>
      </c>
      <c r="F4" s="7"/>
      <c r="G4" s="5" t="s">
        <v>13</v>
      </c>
      <c r="H4" s="7"/>
      <c r="I4" s="5" t="s">
        <v>0</v>
      </c>
      <c r="J4" s="4"/>
      <c r="K4" s="14"/>
    </row>
    <row r="5" spans="1:30" ht="12.75" x14ac:dyDescent="0.2">
      <c r="A5" s="16"/>
      <c r="B5" s="5">
        <v>2</v>
      </c>
      <c r="C5" s="15">
        <v>44155</v>
      </c>
      <c r="D5" s="5">
        <v>2</v>
      </c>
      <c r="E5" s="5" t="s">
        <v>40</v>
      </c>
      <c r="F5" s="7"/>
      <c r="G5" s="5" t="s">
        <v>13</v>
      </c>
      <c r="H5" s="7"/>
      <c r="I5" s="5" t="s">
        <v>6</v>
      </c>
      <c r="J5" s="4"/>
      <c r="K5" s="14"/>
    </row>
    <row r="6" spans="1:30" ht="12.75" x14ac:dyDescent="0.2">
      <c r="A6" s="16"/>
      <c r="B6" s="5">
        <v>3</v>
      </c>
      <c r="C6" s="15">
        <v>44155</v>
      </c>
      <c r="D6" s="5">
        <v>3</v>
      </c>
      <c r="E6" s="5" t="s">
        <v>40</v>
      </c>
      <c r="F6" s="7"/>
      <c r="G6" s="5" t="s">
        <v>13</v>
      </c>
      <c r="H6" s="7"/>
      <c r="I6" s="5" t="s">
        <v>6</v>
      </c>
      <c r="J6" s="4"/>
      <c r="K6" s="14"/>
    </row>
    <row r="7" spans="1:30" ht="5.25" customHeight="1" x14ac:dyDescent="0.2">
      <c r="B7" s="5"/>
      <c r="C7" s="15"/>
      <c r="D7" s="5"/>
      <c r="E7" s="5"/>
      <c r="F7" s="6"/>
      <c r="G7" s="6"/>
      <c r="H7" s="6"/>
      <c r="I7" s="5"/>
      <c r="J7" s="5"/>
      <c r="K7" s="15"/>
    </row>
    <row r="8" spans="1:30" ht="12.75" x14ac:dyDescent="0.2">
      <c r="B8" s="5">
        <v>4</v>
      </c>
      <c r="C8" s="15">
        <v>44162</v>
      </c>
      <c r="D8" s="5">
        <v>1</v>
      </c>
      <c r="E8" s="5" t="s">
        <v>17</v>
      </c>
      <c r="F8" s="7"/>
      <c r="G8" s="6" t="s">
        <v>49</v>
      </c>
      <c r="H8" s="7"/>
      <c r="I8" s="5" t="s">
        <v>6</v>
      </c>
      <c r="J8" s="4"/>
      <c r="K8" s="14"/>
    </row>
    <row r="9" spans="1:30" ht="12.75" x14ac:dyDescent="0.2">
      <c r="B9" s="5">
        <v>5</v>
      </c>
      <c r="C9" s="15">
        <v>44162</v>
      </c>
      <c r="D9" s="5">
        <v>2</v>
      </c>
      <c r="E9" s="5" t="s">
        <v>17</v>
      </c>
      <c r="F9" s="7"/>
      <c r="G9" s="6" t="s">
        <v>49</v>
      </c>
      <c r="H9" s="7"/>
      <c r="I9" s="5" t="s">
        <v>0</v>
      </c>
      <c r="J9" s="4"/>
      <c r="K9" s="14"/>
    </row>
    <row r="10" spans="1:30" ht="12.75" x14ac:dyDescent="0.2">
      <c r="B10" s="5">
        <v>6</v>
      </c>
      <c r="C10" s="15">
        <v>44162</v>
      </c>
      <c r="D10" s="5">
        <v>3</v>
      </c>
      <c r="E10" s="5" t="s">
        <v>17</v>
      </c>
      <c r="F10" s="7"/>
      <c r="G10" s="6" t="s">
        <v>49</v>
      </c>
      <c r="H10" s="7"/>
      <c r="I10" s="5" t="s">
        <v>6</v>
      </c>
      <c r="J10" s="4"/>
      <c r="K10" s="14"/>
    </row>
    <row r="11" spans="1:30" ht="12.75" x14ac:dyDescent="0.2">
      <c r="C11" s="12"/>
      <c r="D11" s="12"/>
      <c r="E11" s="13"/>
      <c r="F11" s="12"/>
      <c r="G11" s="12"/>
      <c r="H11" s="12"/>
    </row>
    <row r="12" spans="1:30" ht="12.75" x14ac:dyDescent="0.2">
      <c r="C12" s="12"/>
      <c r="D12" s="12"/>
      <c r="E12" s="3"/>
      <c r="F12" s="12"/>
      <c r="G12" s="12"/>
      <c r="H12" s="12"/>
    </row>
    <row r="13" spans="1:30" ht="12.75" x14ac:dyDescent="0.2">
      <c r="B13" s="9" t="s">
        <v>48</v>
      </c>
      <c r="C13" s="9" t="s">
        <v>47</v>
      </c>
      <c r="D13" s="9" t="s">
        <v>46</v>
      </c>
      <c r="E13" s="9" t="s">
        <v>45</v>
      </c>
      <c r="F13" s="11" t="s">
        <v>44</v>
      </c>
      <c r="G13" s="9" t="s">
        <v>43</v>
      </c>
      <c r="H13" s="9" t="s">
        <v>42</v>
      </c>
      <c r="I13" s="9" t="s">
        <v>41</v>
      </c>
    </row>
    <row r="14" spans="1:30" ht="12.75" x14ac:dyDescent="0.2">
      <c r="B14" s="5">
        <v>1</v>
      </c>
      <c r="C14" s="5" t="s">
        <v>40</v>
      </c>
      <c r="D14" s="5" t="s">
        <v>1</v>
      </c>
      <c r="E14" s="5" t="s">
        <v>7</v>
      </c>
      <c r="F14" s="6" t="s">
        <v>38</v>
      </c>
      <c r="G14" s="5">
        <v>1</v>
      </c>
      <c r="H14" s="5">
        <v>2</v>
      </c>
      <c r="I14" s="5">
        <v>3</v>
      </c>
    </row>
    <row r="15" spans="1:30" ht="12.75" x14ac:dyDescent="0.2">
      <c r="D15" s="5" t="s">
        <v>2</v>
      </c>
      <c r="E15" s="5" t="s">
        <v>8</v>
      </c>
      <c r="F15" s="6" t="s">
        <v>36</v>
      </c>
      <c r="G15" s="5">
        <v>1</v>
      </c>
      <c r="H15" s="5">
        <v>2</v>
      </c>
      <c r="I15" s="5">
        <v>3</v>
      </c>
    </row>
    <row r="16" spans="1:30" ht="12.75" x14ac:dyDescent="0.2">
      <c r="D16" s="5" t="s">
        <v>3</v>
      </c>
      <c r="E16" s="5"/>
      <c r="F16" s="6" t="s">
        <v>34</v>
      </c>
      <c r="G16" s="5">
        <v>1</v>
      </c>
      <c r="H16" s="5">
        <v>2</v>
      </c>
      <c r="I16" s="5">
        <v>3</v>
      </c>
    </row>
    <row r="17" spans="2:11" ht="12.75" x14ac:dyDescent="0.2">
      <c r="D17" s="5" t="s">
        <v>4</v>
      </c>
      <c r="E17" s="5" t="s">
        <v>32</v>
      </c>
      <c r="F17" s="6" t="s">
        <v>31</v>
      </c>
      <c r="G17" s="5">
        <v>1</v>
      </c>
      <c r="H17" s="5">
        <v>2</v>
      </c>
      <c r="I17" s="5">
        <v>3</v>
      </c>
    </row>
    <row r="18" spans="2:11" ht="12.75" x14ac:dyDescent="0.2">
      <c r="D18" s="5" t="s">
        <v>5</v>
      </c>
      <c r="E18" s="5" t="s">
        <v>11</v>
      </c>
      <c r="F18" s="6" t="s">
        <v>29</v>
      </c>
      <c r="G18" s="5">
        <v>1</v>
      </c>
      <c r="H18" s="5">
        <v>2</v>
      </c>
      <c r="I18" s="5">
        <v>3</v>
      </c>
    </row>
    <row r="19" spans="2:11" ht="6.75" customHeight="1" x14ac:dyDescent="0.2">
      <c r="B19" s="12"/>
      <c r="C19" s="12"/>
      <c r="D19" s="5"/>
      <c r="E19" s="5"/>
      <c r="F19" s="6"/>
      <c r="G19" s="5"/>
      <c r="H19" s="5"/>
      <c r="I19" s="5"/>
    </row>
    <row r="20" spans="2:11" ht="12.75" x14ac:dyDescent="0.2">
      <c r="B20" s="5">
        <v>2</v>
      </c>
      <c r="C20" s="5" t="s">
        <v>13</v>
      </c>
      <c r="D20" s="5" t="s">
        <v>39</v>
      </c>
      <c r="E20" s="5" t="s">
        <v>7</v>
      </c>
      <c r="F20" s="6" t="s">
        <v>38</v>
      </c>
      <c r="G20" s="5">
        <v>1</v>
      </c>
      <c r="H20" s="5">
        <v>2</v>
      </c>
      <c r="I20" s="5">
        <v>3</v>
      </c>
    </row>
    <row r="21" spans="2:11" ht="12.75" x14ac:dyDescent="0.2">
      <c r="D21" s="5" t="s">
        <v>37</v>
      </c>
      <c r="E21" s="5" t="s">
        <v>8</v>
      </c>
      <c r="F21" s="6" t="s">
        <v>36</v>
      </c>
      <c r="G21" s="5">
        <v>1</v>
      </c>
      <c r="H21" s="5">
        <v>2</v>
      </c>
      <c r="I21" s="5">
        <v>3</v>
      </c>
    </row>
    <row r="22" spans="2:11" ht="12.75" x14ac:dyDescent="0.2">
      <c r="D22" s="5" t="s">
        <v>35</v>
      </c>
      <c r="E22" s="5" t="s">
        <v>9</v>
      </c>
      <c r="F22" s="6" t="s">
        <v>34</v>
      </c>
      <c r="G22" s="5">
        <v>1</v>
      </c>
      <c r="H22" s="5">
        <v>2</v>
      </c>
      <c r="I22" s="5">
        <v>3</v>
      </c>
    </row>
    <row r="23" spans="2:11" ht="12.75" x14ac:dyDescent="0.2">
      <c r="D23" s="5" t="s">
        <v>33</v>
      </c>
      <c r="E23" s="5" t="s">
        <v>32</v>
      </c>
      <c r="F23" s="6" t="s">
        <v>31</v>
      </c>
      <c r="G23" s="5">
        <v>1</v>
      </c>
      <c r="H23" s="5">
        <v>2</v>
      </c>
      <c r="I23" s="5">
        <v>3</v>
      </c>
    </row>
    <row r="24" spans="2:11" ht="12.75" x14ac:dyDescent="0.2">
      <c r="D24" s="5" t="s">
        <v>30</v>
      </c>
      <c r="E24" s="5" t="s">
        <v>11</v>
      </c>
      <c r="F24" s="6" t="s">
        <v>29</v>
      </c>
      <c r="G24" s="5">
        <v>1</v>
      </c>
      <c r="H24" s="5">
        <v>2</v>
      </c>
      <c r="I24" s="5">
        <v>3</v>
      </c>
    </row>
    <row r="25" spans="2:11" ht="12.75" x14ac:dyDescent="0.2">
      <c r="E25" s="3"/>
    </row>
    <row r="26" spans="2:11" ht="25.5" x14ac:dyDescent="0.2">
      <c r="B26" s="9" t="s">
        <v>28</v>
      </c>
      <c r="C26" s="9" t="s">
        <v>27</v>
      </c>
      <c r="D26" s="11" t="s">
        <v>26</v>
      </c>
      <c r="E26" s="9" t="s">
        <v>25</v>
      </c>
      <c r="F26" s="10" t="s">
        <v>24</v>
      </c>
      <c r="G26" s="9" t="s">
        <v>23</v>
      </c>
      <c r="H26" s="9" t="s">
        <v>22</v>
      </c>
      <c r="I26" s="10" t="s">
        <v>21</v>
      </c>
      <c r="J26" s="9" t="s">
        <v>20</v>
      </c>
      <c r="K26" s="8" t="s">
        <v>19</v>
      </c>
    </row>
    <row r="27" spans="2:11" ht="12.75" x14ac:dyDescent="0.2">
      <c r="B27" s="5">
        <v>1</v>
      </c>
      <c r="C27" s="5" t="s">
        <v>1</v>
      </c>
      <c r="D27" s="4"/>
      <c r="E27" s="7"/>
      <c r="F27" s="4" t="s">
        <v>18</v>
      </c>
      <c r="G27" s="5" t="s">
        <v>16</v>
      </c>
      <c r="H27" s="5">
        <v>10</v>
      </c>
      <c r="I27" s="5">
        <v>10</v>
      </c>
      <c r="J27" s="5">
        <v>10</v>
      </c>
      <c r="K27" s="4">
        <v>0</v>
      </c>
    </row>
    <row r="28" spans="2:11" ht="12.75" x14ac:dyDescent="0.2">
      <c r="B28" s="4">
        <v>1</v>
      </c>
      <c r="C28" s="4" t="s">
        <v>1</v>
      </c>
      <c r="D28" s="4"/>
      <c r="E28" s="7"/>
      <c r="F28" s="4" t="s">
        <v>17</v>
      </c>
      <c r="G28" s="4" t="s">
        <v>16</v>
      </c>
      <c r="H28" s="4">
        <v>10</v>
      </c>
      <c r="I28" s="4">
        <v>10</v>
      </c>
      <c r="J28" s="4">
        <v>10</v>
      </c>
      <c r="K28" s="4">
        <v>0</v>
      </c>
    </row>
    <row r="29" spans="2:11" ht="25.5" x14ac:dyDescent="0.2">
      <c r="B29" s="5">
        <v>3</v>
      </c>
      <c r="C29" s="5" t="s">
        <v>3</v>
      </c>
      <c r="D29" s="5" t="s">
        <v>15</v>
      </c>
      <c r="E29" s="6" t="s">
        <v>14</v>
      </c>
      <c r="F29" s="5" t="s">
        <v>13</v>
      </c>
      <c r="G29" s="5" t="s">
        <v>12</v>
      </c>
      <c r="H29" s="5">
        <v>3</v>
      </c>
      <c r="I29" s="5">
        <v>3</v>
      </c>
      <c r="J29" s="5">
        <v>3</v>
      </c>
      <c r="K29" s="4">
        <v>1</v>
      </c>
    </row>
    <row r="30" spans="2:11" ht="12.75" x14ac:dyDescent="0.2">
      <c r="E30" s="3"/>
    </row>
    <row r="31" spans="2:11" ht="12.75" x14ac:dyDescent="0.2">
      <c r="E31" s="3"/>
    </row>
    <row r="32" spans="2:11" ht="12.75" x14ac:dyDescent="0.2">
      <c r="E32" s="3"/>
    </row>
    <row r="33" spans="5:5" ht="12.75" x14ac:dyDescent="0.2">
      <c r="E33" s="3"/>
    </row>
    <row r="34" spans="5:5" ht="12.75" x14ac:dyDescent="0.2">
      <c r="E34" s="3"/>
    </row>
    <row r="35" spans="5:5" ht="12.75" x14ac:dyDescent="0.2">
      <c r="E35" s="3"/>
    </row>
    <row r="36" spans="5:5" ht="12.75" x14ac:dyDescent="0.2">
      <c r="E36" s="3"/>
    </row>
    <row r="37" spans="5:5" ht="12.75" x14ac:dyDescent="0.2">
      <c r="E37" s="3"/>
    </row>
    <row r="38" spans="5:5" ht="12.75" x14ac:dyDescent="0.2">
      <c r="E38" s="3"/>
    </row>
    <row r="39" spans="5:5" ht="12.75" x14ac:dyDescent="0.2">
      <c r="E39" s="3"/>
    </row>
    <row r="40" spans="5:5" ht="12.75" x14ac:dyDescent="0.2">
      <c r="E40" s="3"/>
    </row>
    <row r="41" spans="5:5" ht="12.75" x14ac:dyDescent="0.2">
      <c r="E41" s="3"/>
    </row>
    <row r="42" spans="5:5" ht="12.75" x14ac:dyDescent="0.2">
      <c r="E42" s="3"/>
    </row>
    <row r="43" spans="5:5" ht="12.75" x14ac:dyDescent="0.2">
      <c r="E43" s="3"/>
    </row>
    <row r="44" spans="5:5" ht="12.75" x14ac:dyDescent="0.2">
      <c r="E44" s="3"/>
    </row>
    <row r="45" spans="5:5" ht="12.75" x14ac:dyDescent="0.2">
      <c r="E45" s="3"/>
    </row>
    <row r="46" spans="5:5" ht="12.75" x14ac:dyDescent="0.2">
      <c r="E46" s="3"/>
    </row>
    <row r="47" spans="5:5" ht="12.75" x14ac:dyDescent="0.2">
      <c r="E47" s="3"/>
    </row>
    <row r="48" spans="5:5" ht="12.75" x14ac:dyDescent="0.2">
      <c r="E48" s="3"/>
    </row>
    <row r="49" spans="5:5" ht="12.75" x14ac:dyDescent="0.2">
      <c r="E49" s="3"/>
    </row>
    <row r="50" spans="5:5" ht="12.75" x14ac:dyDescent="0.2">
      <c r="E50" s="3"/>
    </row>
    <row r="51" spans="5:5" ht="12.75" x14ac:dyDescent="0.2">
      <c r="E51" s="3"/>
    </row>
    <row r="52" spans="5:5" ht="12.75" x14ac:dyDescent="0.2">
      <c r="E52" s="3"/>
    </row>
    <row r="53" spans="5:5" ht="12.75" x14ac:dyDescent="0.2">
      <c r="E53" s="3"/>
    </row>
    <row r="54" spans="5:5" ht="12.75" x14ac:dyDescent="0.2">
      <c r="E54" s="3"/>
    </row>
    <row r="55" spans="5:5" ht="12.75" x14ac:dyDescent="0.2">
      <c r="E55" s="3"/>
    </row>
    <row r="56" spans="5:5" ht="12.75" x14ac:dyDescent="0.2">
      <c r="E56" s="3"/>
    </row>
    <row r="57" spans="5:5" ht="12.75" x14ac:dyDescent="0.2">
      <c r="E57" s="3"/>
    </row>
    <row r="58" spans="5:5" ht="12.75" x14ac:dyDescent="0.2">
      <c r="E58" s="3"/>
    </row>
    <row r="59" spans="5:5" ht="12.75" x14ac:dyDescent="0.2">
      <c r="E59" s="3"/>
    </row>
    <row r="60" spans="5:5" ht="12.75" x14ac:dyDescent="0.2">
      <c r="E60" s="3"/>
    </row>
    <row r="61" spans="5:5" ht="12.75" x14ac:dyDescent="0.2">
      <c r="E61" s="3"/>
    </row>
    <row r="62" spans="5:5" ht="12.75" x14ac:dyDescent="0.2">
      <c r="E62" s="3"/>
    </row>
    <row r="63" spans="5:5" ht="12.75" x14ac:dyDescent="0.2">
      <c r="E63" s="3"/>
    </row>
    <row r="64" spans="5:5" ht="12.75" x14ac:dyDescent="0.2">
      <c r="E64" s="3"/>
    </row>
    <row r="65" spans="5:5" ht="12.75" x14ac:dyDescent="0.2">
      <c r="E65" s="3"/>
    </row>
    <row r="66" spans="5:5" ht="12.75" x14ac:dyDescent="0.2">
      <c r="E66" s="3"/>
    </row>
    <row r="67" spans="5:5" ht="12.75" x14ac:dyDescent="0.2">
      <c r="E67" s="3"/>
    </row>
    <row r="68" spans="5:5" ht="12.75" x14ac:dyDescent="0.2">
      <c r="E68" s="3"/>
    </row>
    <row r="69" spans="5:5" ht="12.75" x14ac:dyDescent="0.2">
      <c r="E69" s="3"/>
    </row>
    <row r="70" spans="5:5" ht="12.75" x14ac:dyDescent="0.2">
      <c r="E70" s="3"/>
    </row>
    <row r="71" spans="5:5" ht="12.75" x14ac:dyDescent="0.2">
      <c r="E71" s="3"/>
    </row>
    <row r="72" spans="5:5" ht="12.75" x14ac:dyDescent="0.2">
      <c r="E72" s="3"/>
    </row>
    <row r="73" spans="5:5" ht="12.75" x14ac:dyDescent="0.2">
      <c r="E73" s="3"/>
    </row>
    <row r="74" spans="5:5" ht="12.75" x14ac:dyDescent="0.2">
      <c r="E74" s="3"/>
    </row>
    <row r="75" spans="5:5" ht="12.75" x14ac:dyDescent="0.2">
      <c r="E75" s="3"/>
    </row>
    <row r="76" spans="5:5" ht="12.75" x14ac:dyDescent="0.2">
      <c r="E76" s="3"/>
    </row>
    <row r="77" spans="5:5" ht="12.75" x14ac:dyDescent="0.2">
      <c r="E77" s="3"/>
    </row>
    <row r="78" spans="5:5" ht="12.75" x14ac:dyDescent="0.2">
      <c r="E78" s="3"/>
    </row>
    <row r="79" spans="5:5" ht="12.75" x14ac:dyDescent="0.2">
      <c r="E79" s="3"/>
    </row>
    <row r="80" spans="5:5" ht="12.75" x14ac:dyDescent="0.2">
      <c r="E80" s="3"/>
    </row>
    <row r="81" spans="5:5" ht="12.75" x14ac:dyDescent="0.2">
      <c r="E81" s="3"/>
    </row>
    <row r="82" spans="5:5" ht="12.75" x14ac:dyDescent="0.2">
      <c r="E82" s="3"/>
    </row>
    <row r="83" spans="5:5" ht="12.75" x14ac:dyDescent="0.2">
      <c r="E83" s="3"/>
    </row>
    <row r="84" spans="5:5" ht="12.75" x14ac:dyDescent="0.2">
      <c r="E84" s="3"/>
    </row>
    <row r="85" spans="5:5" ht="12.75" x14ac:dyDescent="0.2">
      <c r="E85" s="3"/>
    </row>
    <row r="86" spans="5:5" ht="12.75" x14ac:dyDescent="0.2">
      <c r="E86" s="3"/>
    </row>
    <row r="87" spans="5:5" ht="12.75" x14ac:dyDescent="0.2">
      <c r="E87" s="3"/>
    </row>
    <row r="88" spans="5:5" ht="12.75" x14ac:dyDescent="0.2">
      <c r="E88" s="3"/>
    </row>
    <row r="89" spans="5:5" ht="12.75" x14ac:dyDescent="0.2">
      <c r="E89" s="3"/>
    </row>
    <row r="90" spans="5:5" ht="12.75" x14ac:dyDescent="0.2">
      <c r="E90" s="3"/>
    </row>
    <row r="91" spans="5:5" ht="12.75" x14ac:dyDescent="0.2">
      <c r="E91" s="3"/>
    </row>
    <row r="92" spans="5:5" ht="12.75" x14ac:dyDescent="0.2">
      <c r="E92" s="3"/>
    </row>
    <row r="93" spans="5:5" ht="12.75" x14ac:dyDescent="0.2">
      <c r="E93" s="3"/>
    </row>
    <row r="94" spans="5:5" ht="12.75" x14ac:dyDescent="0.2">
      <c r="E94" s="3"/>
    </row>
    <row r="95" spans="5:5" ht="12.75" x14ac:dyDescent="0.2">
      <c r="E95" s="3"/>
    </row>
    <row r="96" spans="5:5" ht="12.75" x14ac:dyDescent="0.2">
      <c r="E96" s="3"/>
    </row>
    <row r="97" spans="5:5" ht="12.75" x14ac:dyDescent="0.2">
      <c r="E97" s="3"/>
    </row>
    <row r="98" spans="5:5" ht="12.75" x14ac:dyDescent="0.2">
      <c r="E98" s="3"/>
    </row>
    <row r="99" spans="5:5" ht="12.75" x14ac:dyDescent="0.2">
      <c r="E99" s="3"/>
    </row>
    <row r="100" spans="5:5" ht="12.75" x14ac:dyDescent="0.2">
      <c r="E100" s="3"/>
    </row>
    <row r="101" spans="5:5" ht="12.75" x14ac:dyDescent="0.2">
      <c r="E101" s="3"/>
    </row>
    <row r="102" spans="5:5" ht="12.75" x14ac:dyDescent="0.2">
      <c r="E102" s="3"/>
    </row>
    <row r="103" spans="5:5" ht="12.75" x14ac:dyDescent="0.2">
      <c r="E103" s="3"/>
    </row>
    <row r="104" spans="5:5" ht="12.75" x14ac:dyDescent="0.2">
      <c r="E104" s="3"/>
    </row>
    <row r="105" spans="5:5" ht="12.75" x14ac:dyDescent="0.2">
      <c r="E105" s="3"/>
    </row>
    <row r="106" spans="5:5" ht="12.75" x14ac:dyDescent="0.2">
      <c r="E106" s="3"/>
    </row>
    <row r="107" spans="5:5" ht="12.75" x14ac:dyDescent="0.2">
      <c r="E107" s="3"/>
    </row>
    <row r="108" spans="5:5" ht="12.75" x14ac:dyDescent="0.2">
      <c r="E108" s="3"/>
    </row>
    <row r="109" spans="5:5" ht="12.75" x14ac:dyDescent="0.2">
      <c r="E109" s="3"/>
    </row>
    <row r="110" spans="5:5" ht="12.75" x14ac:dyDescent="0.2">
      <c r="E110" s="3"/>
    </row>
    <row r="111" spans="5:5" ht="12.75" x14ac:dyDescent="0.2">
      <c r="E111" s="3"/>
    </row>
    <row r="112" spans="5:5" ht="12.75" x14ac:dyDescent="0.2">
      <c r="E112" s="3"/>
    </row>
    <row r="113" spans="5:5" ht="12.75" x14ac:dyDescent="0.2">
      <c r="E113" s="3"/>
    </row>
    <row r="114" spans="5:5" ht="12.75" x14ac:dyDescent="0.2">
      <c r="E114" s="3"/>
    </row>
    <row r="115" spans="5:5" ht="12.75" x14ac:dyDescent="0.2">
      <c r="E115" s="3"/>
    </row>
    <row r="116" spans="5:5" ht="12.75" x14ac:dyDescent="0.2">
      <c r="E116" s="3"/>
    </row>
    <row r="117" spans="5:5" ht="12.75" x14ac:dyDescent="0.2">
      <c r="E117" s="3"/>
    </row>
    <row r="118" spans="5:5" ht="12.75" x14ac:dyDescent="0.2">
      <c r="E118" s="3"/>
    </row>
    <row r="119" spans="5:5" ht="12.75" x14ac:dyDescent="0.2">
      <c r="E119" s="3"/>
    </row>
    <row r="120" spans="5:5" ht="12.75" x14ac:dyDescent="0.2">
      <c r="E120" s="3"/>
    </row>
    <row r="121" spans="5:5" ht="12.75" x14ac:dyDescent="0.2">
      <c r="E121" s="3"/>
    </row>
    <row r="122" spans="5:5" ht="12.75" x14ac:dyDescent="0.2">
      <c r="E122" s="3"/>
    </row>
    <row r="123" spans="5:5" ht="12.75" x14ac:dyDescent="0.2">
      <c r="E123" s="3"/>
    </row>
    <row r="124" spans="5:5" ht="12.75" x14ac:dyDescent="0.2">
      <c r="E124" s="3"/>
    </row>
    <row r="125" spans="5:5" ht="12.75" x14ac:dyDescent="0.2">
      <c r="E125" s="3"/>
    </row>
    <row r="126" spans="5:5" ht="12.75" x14ac:dyDescent="0.2">
      <c r="E126" s="3"/>
    </row>
    <row r="127" spans="5:5" ht="12.75" x14ac:dyDescent="0.2">
      <c r="E127" s="3"/>
    </row>
    <row r="128" spans="5:5" ht="12.75" x14ac:dyDescent="0.2">
      <c r="E128" s="3"/>
    </row>
    <row r="129" spans="5:5" ht="12.75" x14ac:dyDescent="0.2">
      <c r="E129" s="3"/>
    </row>
    <row r="130" spans="5:5" ht="12.75" x14ac:dyDescent="0.2">
      <c r="E130" s="3"/>
    </row>
    <row r="131" spans="5:5" ht="12.75" x14ac:dyDescent="0.2">
      <c r="E131" s="3"/>
    </row>
    <row r="132" spans="5:5" ht="12.75" x14ac:dyDescent="0.2">
      <c r="E132" s="3"/>
    </row>
    <row r="133" spans="5:5" ht="12.75" x14ac:dyDescent="0.2">
      <c r="E133" s="3"/>
    </row>
    <row r="134" spans="5:5" ht="12.75" x14ac:dyDescent="0.2">
      <c r="E134" s="3"/>
    </row>
    <row r="135" spans="5:5" ht="12.75" x14ac:dyDescent="0.2">
      <c r="E135" s="3"/>
    </row>
    <row r="136" spans="5:5" ht="12.75" x14ac:dyDescent="0.2">
      <c r="E136" s="3"/>
    </row>
    <row r="137" spans="5:5" ht="12.75" x14ac:dyDescent="0.2">
      <c r="E137" s="3"/>
    </row>
    <row r="138" spans="5:5" ht="12.75" x14ac:dyDescent="0.2">
      <c r="E138" s="3"/>
    </row>
    <row r="139" spans="5:5" ht="12.75" x14ac:dyDescent="0.2">
      <c r="E139" s="3"/>
    </row>
    <row r="140" spans="5:5" ht="12.75" x14ac:dyDescent="0.2">
      <c r="E140" s="3"/>
    </row>
    <row r="141" spans="5:5" ht="12.75" x14ac:dyDescent="0.2">
      <c r="E141" s="3"/>
    </row>
    <row r="142" spans="5:5" ht="12.75" x14ac:dyDescent="0.2">
      <c r="E142" s="3"/>
    </row>
    <row r="143" spans="5:5" ht="12.75" x14ac:dyDescent="0.2">
      <c r="E143" s="3"/>
    </row>
    <row r="144" spans="5:5" ht="12.75" x14ac:dyDescent="0.2">
      <c r="E144" s="3"/>
    </row>
    <row r="145" spans="5:5" ht="12.75" x14ac:dyDescent="0.2">
      <c r="E145" s="3"/>
    </row>
    <row r="146" spans="5:5" ht="12.75" x14ac:dyDescent="0.2">
      <c r="E146" s="3"/>
    </row>
    <row r="147" spans="5:5" ht="12.75" x14ac:dyDescent="0.2">
      <c r="E147" s="3"/>
    </row>
    <row r="148" spans="5:5" ht="12.75" x14ac:dyDescent="0.2">
      <c r="E148" s="3"/>
    </row>
    <row r="149" spans="5:5" ht="12.75" x14ac:dyDescent="0.2">
      <c r="E149" s="3"/>
    </row>
    <row r="150" spans="5:5" ht="12.75" x14ac:dyDescent="0.2">
      <c r="E150" s="3"/>
    </row>
    <row r="151" spans="5:5" ht="12.75" x14ac:dyDescent="0.2">
      <c r="E151" s="3"/>
    </row>
    <row r="152" spans="5:5" ht="12.75" x14ac:dyDescent="0.2">
      <c r="E152" s="3"/>
    </row>
    <row r="153" spans="5:5" ht="12.75" x14ac:dyDescent="0.2">
      <c r="E153" s="3"/>
    </row>
    <row r="154" spans="5:5" ht="12.75" x14ac:dyDescent="0.2">
      <c r="E154" s="3"/>
    </row>
    <row r="155" spans="5:5" ht="12.75" x14ac:dyDescent="0.2">
      <c r="E155" s="3"/>
    </row>
    <row r="156" spans="5:5" ht="12.75" x14ac:dyDescent="0.2">
      <c r="E156" s="3"/>
    </row>
    <row r="157" spans="5:5" ht="12.75" x14ac:dyDescent="0.2">
      <c r="E157" s="3"/>
    </row>
    <row r="158" spans="5:5" ht="12.75" x14ac:dyDescent="0.2">
      <c r="E158" s="3"/>
    </row>
    <row r="159" spans="5:5" ht="12.75" x14ac:dyDescent="0.2">
      <c r="E159" s="3"/>
    </row>
    <row r="160" spans="5:5" ht="12.75" x14ac:dyDescent="0.2">
      <c r="E160" s="3"/>
    </row>
    <row r="161" spans="5:5" ht="12.75" x14ac:dyDescent="0.2">
      <c r="E161" s="3"/>
    </row>
    <row r="162" spans="5:5" ht="12.75" x14ac:dyDescent="0.2">
      <c r="E162" s="3"/>
    </row>
    <row r="163" spans="5:5" ht="12.75" x14ac:dyDescent="0.2">
      <c r="E163" s="3"/>
    </row>
    <row r="164" spans="5:5" ht="12.75" x14ac:dyDescent="0.2">
      <c r="E164" s="3"/>
    </row>
    <row r="165" spans="5:5" ht="12.75" x14ac:dyDescent="0.2">
      <c r="E165" s="3"/>
    </row>
    <row r="166" spans="5:5" ht="12.75" x14ac:dyDescent="0.2">
      <c r="E166" s="3"/>
    </row>
    <row r="167" spans="5:5" ht="12.75" x14ac:dyDescent="0.2">
      <c r="E167" s="3"/>
    </row>
    <row r="168" spans="5:5" ht="12.75" x14ac:dyDescent="0.2">
      <c r="E168" s="3"/>
    </row>
    <row r="169" spans="5:5" ht="12.75" x14ac:dyDescent="0.2">
      <c r="E169" s="3"/>
    </row>
    <row r="170" spans="5:5" ht="12.75" x14ac:dyDescent="0.2">
      <c r="E170" s="3"/>
    </row>
    <row r="171" spans="5:5" ht="12.75" x14ac:dyDescent="0.2">
      <c r="E171" s="3"/>
    </row>
    <row r="172" spans="5:5" ht="12.75" x14ac:dyDescent="0.2">
      <c r="E172" s="3"/>
    </row>
    <row r="173" spans="5:5" ht="12.75" x14ac:dyDescent="0.2">
      <c r="E173" s="3"/>
    </row>
    <row r="174" spans="5:5" ht="12.75" x14ac:dyDescent="0.2">
      <c r="E174" s="3"/>
    </row>
    <row r="175" spans="5:5" ht="12.75" x14ac:dyDescent="0.2">
      <c r="E175" s="3"/>
    </row>
    <row r="176" spans="5:5" ht="12.75" x14ac:dyDescent="0.2">
      <c r="E176" s="3"/>
    </row>
    <row r="177" spans="5:5" ht="12.75" x14ac:dyDescent="0.2">
      <c r="E177" s="3"/>
    </row>
    <row r="178" spans="5:5" ht="12.75" x14ac:dyDescent="0.2">
      <c r="E178" s="3"/>
    </row>
    <row r="179" spans="5:5" ht="12.75" x14ac:dyDescent="0.2">
      <c r="E179" s="3"/>
    </row>
    <row r="180" spans="5:5" ht="12.75" x14ac:dyDescent="0.2">
      <c r="E180" s="3"/>
    </row>
    <row r="181" spans="5:5" ht="12.75" x14ac:dyDescent="0.2">
      <c r="E181" s="3"/>
    </row>
    <row r="182" spans="5:5" ht="12.75" x14ac:dyDescent="0.2">
      <c r="E182" s="3"/>
    </row>
    <row r="183" spans="5:5" ht="12.75" x14ac:dyDescent="0.2">
      <c r="E183" s="3"/>
    </row>
    <row r="184" spans="5:5" ht="12.75" x14ac:dyDescent="0.2">
      <c r="E184" s="3"/>
    </row>
    <row r="185" spans="5:5" ht="12.75" x14ac:dyDescent="0.2">
      <c r="E185" s="3"/>
    </row>
    <row r="186" spans="5:5" ht="12.75" x14ac:dyDescent="0.2">
      <c r="E186" s="3"/>
    </row>
    <row r="187" spans="5:5" ht="12.75" x14ac:dyDescent="0.2">
      <c r="E187" s="3"/>
    </row>
    <row r="188" spans="5:5" ht="12.75" x14ac:dyDescent="0.2">
      <c r="E188" s="3"/>
    </row>
    <row r="189" spans="5:5" ht="12.75" x14ac:dyDescent="0.2">
      <c r="E189" s="3"/>
    </row>
    <row r="190" spans="5:5" ht="12.75" x14ac:dyDescent="0.2">
      <c r="E190" s="3"/>
    </row>
    <row r="191" spans="5:5" ht="12.75" x14ac:dyDescent="0.2">
      <c r="E191" s="3"/>
    </row>
    <row r="192" spans="5:5" ht="12.75" x14ac:dyDescent="0.2">
      <c r="E192" s="3"/>
    </row>
    <row r="193" spans="5:5" ht="12.75" x14ac:dyDescent="0.2">
      <c r="E193" s="3"/>
    </row>
    <row r="194" spans="5:5" ht="12.75" x14ac:dyDescent="0.2">
      <c r="E194" s="3"/>
    </row>
    <row r="195" spans="5:5" ht="12.75" x14ac:dyDescent="0.2">
      <c r="E195" s="3"/>
    </row>
    <row r="196" spans="5:5" ht="12.75" x14ac:dyDescent="0.2">
      <c r="E196" s="3"/>
    </row>
    <row r="197" spans="5:5" ht="12.75" x14ac:dyDescent="0.2">
      <c r="E197" s="3"/>
    </row>
    <row r="198" spans="5:5" ht="12.75" x14ac:dyDescent="0.2">
      <c r="E198" s="3"/>
    </row>
    <row r="199" spans="5:5" ht="12.75" x14ac:dyDescent="0.2">
      <c r="E199" s="3"/>
    </row>
    <row r="200" spans="5:5" ht="12.75" x14ac:dyDescent="0.2">
      <c r="E200" s="3"/>
    </row>
    <row r="201" spans="5:5" ht="12.75" x14ac:dyDescent="0.2">
      <c r="E201" s="3"/>
    </row>
    <row r="202" spans="5:5" ht="12.75" x14ac:dyDescent="0.2">
      <c r="E202" s="3"/>
    </row>
    <row r="203" spans="5:5" ht="12.75" x14ac:dyDescent="0.2">
      <c r="E203" s="3"/>
    </row>
    <row r="204" spans="5:5" ht="12.75" x14ac:dyDescent="0.2">
      <c r="E204" s="3"/>
    </row>
    <row r="205" spans="5:5" ht="12.75" x14ac:dyDescent="0.2">
      <c r="E205" s="3"/>
    </row>
    <row r="206" spans="5:5" ht="12.75" x14ac:dyDescent="0.2">
      <c r="E206" s="3"/>
    </row>
    <row r="207" spans="5:5" ht="12.75" x14ac:dyDescent="0.2">
      <c r="E207" s="3"/>
    </row>
    <row r="208" spans="5:5" ht="12.75" x14ac:dyDescent="0.2">
      <c r="E208" s="3"/>
    </row>
    <row r="209" spans="5:5" ht="12.75" x14ac:dyDescent="0.2">
      <c r="E209" s="3"/>
    </row>
    <row r="210" spans="5:5" ht="12.75" x14ac:dyDescent="0.2">
      <c r="E210" s="3"/>
    </row>
    <row r="211" spans="5:5" ht="12.75" x14ac:dyDescent="0.2">
      <c r="E211" s="3"/>
    </row>
    <row r="212" spans="5:5" ht="12.75" x14ac:dyDescent="0.2">
      <c r="E212" s="3"/>
    </row>
    <row r="213" spans="5:5" ht="12.75" x14ac:dyDescent="0.2">
      <c r="E213" s="3"/>
    </row>
    <row r="214" spans="5:5" ht="12.75" x14ac:dyDescent="0.2">
      <c r="E214" s="3"/>
    </row>
    <row r="215" spans="5:5" ht="12.75" x14ac:dyDescent="0.2">
      <c r="E215" s="3"/>
    </row>
    <row r="216" spans="5:5" ht="12.75" x14ac:dyDescent="0.2">
      <c r="E216" s="3"/>
    </row>
    <row r="217" spans="5:5" ht="12.75" x14ac:dyDescent="0.2">
      <c r="E217" s="3"/>
    </row>
    <row r="218" spans="5:5" ht="12.75" x14ac:dyDescent="0.2">
      <c r="E218" s="3"/>
    </row>
    <row r="219" spans="5:5" ht="12.75" x14ac:dyDescent="0.2">
      <c r="E219" s="3"/>
    </row>
    <row r="220" spans="5:5" ht="12.75" x14ac:dyDescent="0.2">
      <c r="E220" s="3"/>
    </row>
    <row r="221" spans="5:5" ht="12.75" x14ac:dyDescent="0.2">
      <c r="E221" s="3"/>
    </row>
    <row r="222" spans="5:5" ht="12.75" x14ac:dyDescent="0.2">
      <c r="E222" s="3"/>
    </row>
    <row r="223" spans="5:5" ht="12.75" x14ac:dyDescent="0.2">
      <c r="E223" s="3"/>
    </row>
    <row r="224" spans="5:5" ht="12.75" x14ac:dyDescent="0.2">
      <c r="E224" s="3"/>
    </row>
    <row r="225" spans="5:5" ht="12.75" x14ac:dyDescent="0.2">
      <c r="E225" s="3"/>
    </row>
    <row r="226" spans="5:5" ht="12.75" x14ac:dyDescent="0.2">
      <c r="E226" s="3"/>
    </row>
    <row r="227" spans="5:5" ht="12.75" x14ac:dyDescent="0.2">
      <c r="E227" s="3"/>
    </row>
    <row r="228" spans="5:5" ht="12.75" x14ac:dyDescent="0.2">
      <c r="E228" s="3"/>
    </row>
    <row r="229" spans="5:5" ht="12.75" x14ac:dyDescent="0.2">
      <c r="E229" s="3"/>
    </row>
    <row r="230" spans="5:5" ht="12.75" x14ac:dyDescent="0.2">
      <c r="E230" s="3"/>
    </row>
    <row r="231" spans="5:5" ht="12.75" x14ac:dyDescent="0.2">
      <c r="E231" s="3"/>
    </row>
    <row r="232" spans="5:5" ht="12.75" x14ac:dyDescent="0.2">
      <c r="E232" s="3"/>
    </row>
    <row r="233" spans="5:5" ht="12.75" x14ac:dyDescent="0.2">
      <c r="E233" s="3"/>
    </row>
    <row r="234" spans="5:5" ht="12.75" x14ac:dyDescent="0.2">
      <c r="E234" s="3"/>
    </row>
    <row r="235" spans="5:5" ht="12.75" x14ac:dyDescent="0.2">
      <c r="E235" s="3"/>
    </row>
    <row r="236" spans="5:5" ht="12.75" x14ac:dyDescent="0.2">
      <c r="E236" s="3"/>
    </row>
    <row r="237" spans="5:5" ht="12.75" x14ac:dyDescent="0.2">
      <c r="E237" s="3"/>
    </row>
    <row r="238" spans="5:5" ht="12.75" x14ac:dyDescent="0.2">
      <c r="E238" s="3"/>
    </row>
    <row r="239" spans="5:5" ht="12.75" x14ac:dyDescent="0.2">
      <c r="E239" s="3"/>
    </row>
    <row r="240" spans="5:5" ht="12.75" x14ac:dyDescent="0.2">
      <c r="E240" s="3"/>
    </row>
    <row r="241" spans="5:5" ht="12.75" x14ac:dyDescent="0.2">
      <c r="E241" s="3"/>
    </row>
    <row r="242" spans="5:5" ht="12.75" x14ac:dyDescent="0.2">
      <c r="E242" s="3"/>
    </row>
    <row r="243" spans="5:5" ht="12.75" x14ac:dyDescent="0.2">
      <c r="E243" s="3"/>
    </row>
    <row r="244" spans="5:5" ht="12.75" x14ac:dyDescent="0.2">
      <c r="E244" s="3"/>
    </row>
    <row r="245" spans="5:5" ht="12.75" x14ac:dyDescent="0.2">
      <c r="E245" s="3"/>
    </row>
    <row r="246" spans="5:5" ht="12.75" x14ac:dyDescent="0.2">
      <c r="E246" s="3"/>
    </row>
    <row r="247" spans="5:5" ht="12.75" x14ac:dyDescent="0.2">
      <c r="E247" s="3"/>
    </row>
    <row r="248" spans="5:5" ht="12.75" x14ac:dyDescent="0.2">
      <c r="E248" s="3"/>
    </row>
    <row r="249" spans="5:5" ht="12.75" x14ac:dyDescent="0.2">
      <c r="E249" s="3"/>
    </row>
    <row r="250" spans="5:5" ht="12.75" x14ac:dyDescent="0.2">
      <c r="E250" s="3"/>
    </row>
    <row r="251" spans="5:5" ht="12.75" x14ac:dyDescent="0.2">
      <c r="E251" s="3"/>
    </row>
    <row r="252" spans="5:5" ht="12.75" x14ac:dyDescent="0.2">
      <c r="E252" s="3"/>
    </row>
    <row r="253" spans="5:5" ht="12.75" x14ac:dyDescent="0.2">
      <c r="E253" s="3"/>
    </row>
    <row r="254" spans="5:5" ht="12.75" x14ac:dyDescent="0.2">
      <c r="E254" s="3"/>
    </row>
    <row r="255" spans="5:5" ht="12.75" x14ac:dyDescent="0.2">
      <c r="E255" s="3"/>
    </row>
    <row r="256" spans="5:5" ht="12.75" x14ac:dyDescent="0.2">
      <c r="E256" s="3"/>
    </row>
    <row r="257" spans="5:5" ht="12.75" x14ac:dyDescent="0.2">
      <c r="E257" s="3"/>
    </row>
    <row r="258" spans="5:5" ht="12.75" x14ac:dyDescent="0.2">
      <c r="E258" s="3"/>
    </row>
    <row r="259" spans="5:5" ht="12.75" x14ac:dyDescent="0.2">
      <c r="E259" s="3"/>
    </row>
    <row r="260" spans="5:5" ht="12.75" x14ac:dyDescent="0.2">
      <c r="E260" s="3"/>
    </row>
    <row r="261" spans="5:5" ht="12.75" x14ac:dyDescent="0.2">
      <c r="E261" s="3"/>
    </row>
    <row r="262" spans="5:5" ht="12.75" x14ac:dyDescent="0.2">
      <c r="E262" s="3"/>
    </row>
    <row r="263" spans="5:5" ht="12.75" x14ac:dyDescent="0.2">
      <c r="E263" s="3"/>
    </row>
    <row r="264" spans="5:5" ht="12.75" x14ac:dyDescent="0.2">
      <c r="E264" s="3"/>
    </row>
    <row r="265" spans="5:5" ht="12.75" x14ac:dyDescent="0.2">
      <c r="E265" s="3"/>
    </row>
    <row r="266" spans="5:5" ht="12.75" x14ac:dyDescent="0.2">
      <c r="E266" s="3"/>
    </row>
    <row r="267" spans="5:5" ht="12.75" x14ac:dyDescent="0.2">
      <c r="E267" s="3"/>
    </row>
    <row r="268" spans="5:5" ht="12.75" x14ac:dyDescent="0.2">
      <c r="E268" s="3"/>
    </row>
    <row r="269" spans="5:5" ht="12.75" x14ac:dyDescent="0.2">
      <c r="E269" s="3"/>
    </row>
    <row r="270" spans="5:5" ht="12.75" x14ac:dyDescent="0.2">
      <c r="E270" s="3"/>
    </row>
    <row r="271" spans="5:5" ht="12.75" x14ac:dyDescent="0.2">
      <c r="E271" s="3"/>
    </row>
    <row r="272" spans="5:5" ht="12.75" x14ac:dyDescent="0.2">
      <c r="E272" s="3"/>
    </row>
    <row r="273" spans="5:5" ht="12.75" x14ac:dyDescent="0.2">
      <c r="E273" s="3"/>
    </row>
    <row r="274" spans="5:5" ht="12.75" x14ac:dyDescent="0.2">
      <c r="E274" s="3"/>
    </row>
    <row r="275" spans="5:5" ht="12.75" x14ac:dyDescent="0.2">
      <c r="E275" s="3"/>
    </row>
    <row r="276" spans="5:5" ht="12.75" x14ac:dyDescent="0.2">
      <c r="E276" s="3"/>
    </row>
    <row r="277" spans="5:5" ht="12.75" x14ac:dyDescent="0.2">
      <c r="E277" s="3"/>
    </row>
    <row r="278" spans="5:5" ht="12.75" x14ac:dyDescent="0.2">
      <c r="E278" s="3"/>
    </row>
    <row r="279" spans="5:5" ht="12.75" x14ac:dyDescent="0.2">
      <c r="E279" s="3"/>
    </row>
    <row r="280" spans="5:5" ht="12.75" x14ac:dyDescent="0.2">
      <c r="E280" s="3"/>
    </row>
    <row r="281" spans="5:5" ht="12.75" x14ac:dyDescent="0.2">
      <c r="E281" s="3"/>
    </row>
    <row r="282" spans="5:5" ht="12.75" x14ac:dyDescent="0.2">
      <c r="E282" s="3"/>
    </row>
    <row r="283" spans="5:5" ht="12.75" x14ac:dyDescent="0.2">
      <c r="E283" s="3"/>
    </row>
    <row r="284" spans="5:5" ht="12.75" x14ac:dyDescent="0.2">
      <c r="E284" s="3"/>
    </row>
    <row r="285" spans="5:5" ht="12.75" x14ac:dyDescent="0.2">
      <c r="E285" s="3"/>
    </row>
    <row r="286" spans="5:5" ht="12.75" x14ac:dyDescent="0.2">
      <c r="E286" s="3"/>
    </row>
    <row r="287" spans="5:5" ht="12.75" x14ac:dyDescent="0.2">
      <c r="E287" s="3"/>
    </row>
    <row r="288" spans="5:5" ht="12.75" x14ac:dyDescent="0.2">
      <c r="E288" s="3"/>
    </row>
    <row r="289" spans="5:5" ht="12.75" x14ac:dyDescent="0.2">
      <c r="E289" s="3"/>
    </row>
    <row r="290" spans="5:5" ht="12.75" x14ac:dyDescent="0.2">
      <c r="E290" s="3"/>
    </row>
    <row r="291" spans="5:5" ht="12.75" x14ac:dyDescent="0.2">
      <c r="E291" s="3"/>
    </row>
    <row r="292" spans="5:5" ht="12.75" x14ac:dyDescent="0.2">
      <c r="E292" s="3"/>
    </row>
    <row r="293" spans="5:5" ht="12.75" x14ac:dyDescent="0.2">
      <c r="E293" s="3"/>
    </row>
    <row r="294" spans="5:5" ht="12.75" x14ac:dyDescent="0.2">
      <c r="E294" s="3"/>
    </row>
    <row r="295" spans="5:5" ht="12.75" x14ac:dyDescent="0.2">
      <c r="E295" s="3"/>
    </row>
    <row r="296" spans="5:5" ht="12.75" x14ac:dyDescent="0.2">
      <c r="E296" s="3"/>
    </row>
    <row r="297" spans="5:5" ht="12.75" x14ac:dyDescent="0.2">
      <c r="E297" s="3"/>
    </row>
    <row r="298" spans="5:5" ht="12.75" x14ac:dyDescent="0.2">
      <c r="E298" s="3"/>
    </row>
    <row r="299" spans="5:5" ht="12.75" x14ac:dyDescent="0.2">
      <c r="E299" s="3"/>
    </row>
    <row r="300" spans="5:5" ht="12.75" x14ac:dyDescent="0.2">
      <c r="E300" s="3"/>
    </row>
    <row r="301" spans="5:5" ht="12.75" x14ac:dyDescent="0.2">
      <c r="E301" s="3"/>
    </row>
    <row r="302" spans="5:5" ht="12.75" x14ac:dyDescent="0.2">
      <c r="E302" s="3"/>
    </row>
    <row r="303" spans="5:5" ht="12.75" x14ac:dyDescent="0.2">
      <c r="E303" s="3"/>
    </row>
    <row r="304" spans="5:5" ht="12.75" x14ac:dyDescent="0.2">
      <c r="E304" s="3"/>
    </row>
    <row r="305" spans="5:5" ht="12.75" x14ac:dyDescent="0.2">
      <c r="E305" s="3"/>
    </row>
    <row r="306" spans="5:5" ht="12.75" x14ac:dyDescent="0.2">
      <c r="E306" s="3"/>
    </row>
    <row r="307" spans="5:5" ht="12.75" x14ac:dyDescent="0.2">
      <c r="E307" s="3"/>
    </row>
    <row r="308" spans="5:5" ht="12.75" x14ac:dyDescent="0.2">
      <c r="E308" s="3"/>
    </row>
    <row r="309" spans="5:5" ht="12.75" x14ac:dyDescent="0.2">
      <c r="E309" s="3"/>
    </row>
    <row r="310" spans="5:5" ht="12.75" x14ac:dyDescent="0.2">
      <c r="E310" s="3"/>
    </row>
    <row r="311" spans="5:5" ht="12.75" x14ac:dyDescent="0.2">
      <c r="E311" s="3"/>
    </row>
    <row r="312" spans="5:5" ht="12.75" x14ac:dyDescent="0.2">
      <c r="E312" s="3"/>
    </row>
    <row r="313" spans="5:5" ht="12.75" x14ac:dyDescent="0.2">
      <c r="E313" s="3"/>
    </row>
    <row r="314" spans="5:5" ht="12.75" x14ac:dyDescent="0.2">
      <c r="E314" s="3"/>
    </row>
    <row r="315" spans="5:5" ht="12.75" x14ac:dyDescent="0.2">
      <c r="E315" s="3"/>
    </row>
    <row r="316" spans="5:5" ht="12.75" x14ac:dyDescent="0.2">
      <c r="E316" s="3"/>
    </row>
    <row r="317" spans="5:5" ht="12.75" x14ac:dyDescent="0.2">
      <c r="E317" s="3"/>
    </row>
    <row r="318" spans="5:5" ht="12.75" x14ac:dyDescent="0.2">
      <c r="E318" s="3"/>
    </row>
    <row r="319" spans="5:5" ht="12.75" x14ac:dyDescent="0.2">
      <c r="E319" s="3"/>
    </row>
    <row r="320" spans="5:5" ht="12.75" x14ac:dyDescent="0.2">
      <c r="E320" s="3"/>
    </row>
    <row r="321" spans="5:5" ht="12.75" x14ac:dyDescent="0.2">
      <c r="E321" s="3"/>
    </row>
    <row r="322" spans="5:5" ht="12.75" x14ac:dyDescent="0.2">
      <c r="E322" s="3"/>
    </row>
    <row r="323" spans="5:5" ht="12.75" x14ac:dyDescent="0.2">
      <c r="E323" s="3"/>
    </row>
    <row r="324" spans="5:5" ht="12.75" x14ac:dyDescent="0.2">
      <c r="E324" s="3"/>
    </row>
    <row r="325" spans="5:5" ht="12.75" x14ac:dyDescent="0.2">
      <c r="E325" s="3"/>
    </row>
    <row r="326" spans="5:5" ht="12.75" x14ac:dyDescent="0.2">
      <c r="E326" s="3"/>
    </row>
    <row r="327" spans="5:5" ht="12.75" x14ac:dyDescent="0.2">
      <c r="E327" s="3"/>
    </row>
    <row r="328" spans="5:5" ht="12.75" x14ac:dyDescent="0.2">
      <c r="E328" s="3"/>
    </row>
    <row r="329" spans="5:5" ht="12.75" x14ac:dyDescent="0.2">
      <c r="E329" s="3"/>
    </row>
    <row r="330" spans="5:5" ht="12.75" x14ac:dyDescent="0.2">
      <c r="E330" s="3"/>
    </row>
    <row r="331" spans="5:5" ht="12.75" x14ac:dyDescent="0.2">
      <c r="E331" s="3"/>
    </row>
    <row r="332" spans="5:5" ht="12.75" x14ac:dyDescent="0.2">
      <c r="E332" s="3"/>
    </row>
    <row r="333" spans="5:5" ht="12.75" x14ac:dyDescent="0.2">
      <c r="E333" s="3"/>
    </row>
    <row r="334" spans="5:5" ht="12.75" x14ac:dyDescent="0.2">
      <c r="E334" s="3"/>
    </row>
    <row r="335" spans="5:5" ht="12.75" x14ac:dyDescent="0.2">
      <c r="E335" s="3"/>
    </row>
    <row r="336" spans="5:5" ht="12.75" x14ac:dyDescent="0.2">
      <c r="E336" s="3"/>
    </row>
    <row r="337" spans="5:5" ht="12.75" x14ac:dyDescent="0.2">
      <c r="E337" s="3"/>
    </row>
    <row r="338" spans="5:5" ht="12.75" x14ac:dyDescent="0.2">
      <c r="E338" s="3"/>
    </row>
    <row r="339" spans="5:5" ht="12.75" x14ac:dyDescent="0.2">
      <c r="E339" s="3"/>
    </row>
    <row r="340" spans="5:5" ht="12.75" x14ac:dyDescent="0.2">
      <c r="E340" s="3"/>
    </row>
    <row r="341" spans="5:5" ht="12.75" x14ac:dyDescent="0.2">
      <c r="E341" s="3"/>
    </row>
    <row r="342" spans="5:5" ht="12.75" x14ac:dyDescent="0.2">
      <c r="E342" s="3"/>
    </row>
    <row r="343" spans="5:5" ht="12.75" x14ac:dyDescent="0.2">
      <c r="E343" s="3"/>
    </row>
    <row r="344" spans="5:5" ht="12.75" x14ac:dyDescent="0.2">
      <c r="E344" s="3"/>
    </row>
    <row r="345" spans="5:5" ht="12.75" x14ac:dyDescent="0.2">
      <c r="E345" s="3"/>
    </row>
    <row r="346" spans="5:5" ht="12.75" x14ac:dyDescent="0.2">
      <c r="E346" s="3"/>
    </row>
    <row r="347" spans="5:5" ht="12.75" x14ac:dyDescent="0.2">
      <c r="E347" s="3"/>
    </row>
    <row r="348" spans="5:5" ht="12.75" x14ac:dyDescent="0.2">
      <c r="E348" s="3"/>
    </row>
    <row r="349" spans="5:5" ht="12.75" x14ac:dyDescent="0.2">
      <c r="E349" s="3"/>
    </row>
    <row r="350" spans="5:5" ht="12.75" x14ac:dyDescent="0.2">
      <c r="E350" s="3"/>
    </row>
    <row r="351" spans="5:5" ht="12.75" x14ac:dyDescent="0.2">
      <c r="E351" s="3"/>
    </row>
    <row r="352" spans="5:5" ht="12.75" x14ac:dyDescent="0.2">
      <c r="E352" s="3"/>
    </row>
    <row r="353" spans="5:5" ht="12.75" x14ac:dyDescent="0.2">
      <c r="E353" s="3"/>
    </row>
    <row r="354" spans="5:5" ht="12.75" x14ac:dyDescent="0.2">
      <c r="E354" s="3"/>
    </row>
    <row r="355" spans="5:5" ht="12.75" x14ac:dyDescent="0.2">
      <c r="E355" s="3"/>
    </row>
    <row r="356" spans="5:5" ht="12.75" x14ac:dyDescent="0.2">
      <c r="E356" s="3"/>
    </row>
    <row r="357" spans="5:5" ht="12.75" x14ac:dyDescent="0.2">
      <c r="E357" s="3"/>
    </row>
    <row r="358" spans="5:5" ht="12.75" x14ac:dyDescent="0.2">
      <c r="E358" s="3"/>
    </row>
    <row r="359" spans="5:5" ht="12.75" x14ac:dyDescent="0.2">
      <c r="E359" s="3"/>
    </row>
    <row r="360" spans="5:5" ht="12.75" x14ac:dyDescent="0.2">
      <c r="E360" s="3"/>
    </row>
    <row r="361" spans="5:5" ht="12.75" x14ac:dyDescent="0.2">
      <c r="E361" s="3"/>
    </row>
    <row r="362" spans="5:5" ht="12.75" x14ac:dyDescent="0.2">
      <c r="E362" s="3"/>
    </row>
    <row r="363" spans="5:5" ht="12.75" x14ac:dyDescent="0.2">
      <c r="E363" s="3"/>
    </row>
    <row r="364" spans="5:5" ht="12.75" x14ac:dyDescent="0.2">
      <c r="E364" s="3"/>
    </row>
    <row r="365" spans="5:5" ht="12.75" x14ac:dyDescent="0.2">
      <c r="E365" s="3"/>
    </row>
    <row r="366" spans="5:5" ht="12.75" x14ac:dyDescent="0.2">
      <c r="E366" s="3"/>
    </row>
    <row r="367" spans="5:5" ht="12.75" x14ac:dyDescent="0.2">
      <c r="E367" s="3"/>
    </row>
    <row r="368" spans="5:5" ht="12.75" x14ac:dyDescent="0.2">
      <c r="E368" s="3"/>
    </row>
    <row r="369" spans="5:5" ht="12.75" x14ac:dyDescent="0.2">
      <c r="E369" s="3"/>
    </row>
    <row r="370" spans="5:5" ht="12.75" x14ac:dyDescent="0.2">
      <c r="E370" s="3"/>
    </row>
    <row r="371" spans="5:5" ht="12.75" x14ac:dyDescent="0.2">
      <c r="E371" s="3"/>
    </row>
    <row r="372" spans="5:5" ht="12.75" x14ac:dyDescent="0.2">
      <c r="E372" s="3"/>
    </row>
    <row r="373" spans="5:5" ht="12.75" x14ac:dyDescent="0.2">
      <c r="E373" s="3"/>
    </row>
    <row r="374" spans="5:5" ht="12.75" x14ac:dyDescent="0.2">
      <c r="E374" s="3"/>
    </row>
    <row r="375" spans="5:5" ht="12.75" x14ac:dyDescent="0.2">
      <c r="E375" s="3"/>
    </row>
    <row r="376" spans="5:5" ht="12.75" x14ac:dyDescent="0.2">
      <c r="E376" s="3"/>
    </row>
    <row r="377" spans="5:5" ht="12.75" x14ac:dyDescent="0.2">
      <c r="E377" s="3"/>
    </row>
    <row r="378" spans="5:5" ht="12.75" x14ac:dyDescent="0.2">
      <c r="E378" s="3"/>
    </row>
    <row r="379" spans="5:5" ht="12.75" x14ac:dyDescent="0.2">
      <c r="E379" s="3"/>
    </row>
    <row r="380" spans="5:5" ht="12.75" x14ac:dyDescent="0.2">
      <c r="E380" s="3"/>
    </row>
    <row r="381" spans="5:5" ht="12.75" x14ac:dyDescent="0.2">
      <c r="E381" s="3"/>
    </row>
    <row r="382" spans="5:5" ht="12.75" x14ac:dyDescent="0.2">
      <c r="E382" s="3"/>
    </row>
    <row r="383" spans="5:5" ht="12.75" x14ac:dyDescent="0.2">
      <c r="E383" s="3"/>
    </row>
    <row r="384" spans="5:5" ht="12.75" x14ac:dyDescent="0.2">
      <c r="E384" s="3"/>
    </row>
    <row r="385" spans="5:5" ht="12.75" x14ac:dyDescent="0.2">
      <c r="E385" s="3"/>
    </row>
    <row r="386" spans="5:5" ht="12.75" x14ac:dyDescent="0.2">
      <c r="E386" s="3"/>
    </row>
    <row r="387" spans="5:5" ht="12.75" x14ac:dyDescent="0.2">
      <c r="E387" s="3"/>
    </row>
    <row r="388" spans="5:5" ht="12.75" x14ac:dyDescent="0.2">
      <c r="E388" s="3"/>
    </row>
    <row r="389" spans="5:5" ht="12.75" x14ac:dyDescent="0.2">
      <c r="E389" s="3"/>
    </row>
    <row r="390" spans="5:5" ht="12.75" x14ac:dyDescent="0.2">
      <c r="E390" s="3"/>
    </row>
    <row r="391" spans="5:5" ht="12.75" x14ac:dyDescent="0.2">
      <c r="E391" s="3"/>
    </row>
    <row r="392" spans="5:5" ht="12.75" x14ac:dyDescent="0.2">
      <c r="E392" s="3"/>
    </row>
    <row r="393" spans="5:5" ht="12.75" x14ac:dyDescent="0.2">
      <c r="E393" s="3"/>
    </row>
    <row r="394" spans="5:5" ht="12.75" x14ac:dyDescent="0.2">
      <c r="E394" s="3"/>
    </row>
    <row r="395" spans="5:5" ht="12.75" x14ac:dyDescent="0.2">
      <c r="E395" s="3"/>
    </row>
    <row r="396" spans="5:5" ht="12.75" x14ac:dyDescent="0.2">
      <c r="E396" s="3"/>
    </row>
    <row r="397" spans="5:5" ht="12.75" x14ac:dyDescent="0.2">
      <c r="E397" s="3"/>
    </row>
    <row r="398" spans="5:5" ht="12.75" x14ac:dyDescent="0.2">
      <c r="E398" s="3"/>
    </row>
    <row r="399" spans="5:5" ht="12.75" x14ac:dyDescent="0.2">
      <c r="E399" s="3"/>
    </row>
    <row r="400" spans="5:5" ht="12.75" x14ac:dyDescent="0.2">
      <c r="E400" s="3"/>
    </row>
    <row r="401" spans="5:5" ht="12.75" x14ac:dyDescent="0.2">
      <c r="E401" s="3"/>
    </row>
    <row r="402" spans="5:5" ht="12.75" x14ac:dyDescent="0.2">
      <c r="E402" s="3"/>
    </row>
    <row r="403" spans="5:5" ht="12.75" x14ac:dyDescent="0.2">
      <c r="E403" s="3"/>
    </row>
    <row r="404" spans="5:5" ht="12.75" x14ac:dyDescent="0.2">
      <c r="E404" s="3"/>
    </row>
    <row r="405" spans="5:5" ht="12.75" x14ac:dyDescent="0.2">
      <c r="E405" s="3"/>
    </row>
    <row r="406" spans="5:5" ht="12.75" x14ac:dyDescent="0.2">
      <c r="E406" s="3"/>
    </row>
    <row r="407" spans="5:5" ht="12.75" x14ac:dyDescent="0.2">
      <c r="E407" s="3"/>
    </row>
    <row r="408" spans="5:5" ht="12.75" x14ac:dyDescent="0.2">
      <c r="E408" s="3"/>
    </row>
    <row r="409" spans="5:5" ht="12.75" x14ac:dyDescent="0.2">
      <c r="E409" s="3"/>
    </row>
    <row r="410" spans="5:5" ht="12.75" x14ac:dyDescent="0.2">
      <c r="E410" s="3"/>
    </row>
    <row r="411" spans="5:5" ht="12.75" x14ac:dyDescent="0.2">
      <c r="E411" s="3"/>
    </row>
    <row r="412" spans="5:5" ht="12.75" x14ac:dyDescent="0.2">
      <c r="E412" s="3"/>
    </row>
    <row r="413" spans="5:5" ht="12.75" x14ac:dyDescent="0.2">
      <c r="E413" s="3"/>
    </row>
    <row r="414" spans="5:5" ht="12.75" x14ac:dyDescent="0.2">
      <c r="E414" s="3"/>
    </row>
    <row r="415" spans="5:5" ht="12.75" x14ac:dyDescent="0.2">
      <c r="E415" s="3"/>
    </row>
    <row r="416" spans="5:5" ht="12.75" x14ac:dyDescent="0.2">
      <c r="E416" s="3"/>
    </row>
    <row r="417" spans="5:5" ht="12.75" x14ac:dyDescent="0.2">
      <c r="E417" s="3"/>
    </row>
    <row r="418" spans="5:5" ht="12.75" x14ac:dyDescent="0.2">
      <c r="E418" s="3"/>
    </row>
    <row r="419" spans="5:5" ht="12.75" x14ac:dyDescent="0.2">
      <c r="E419" s="3"/>
    </row>
    <row r="420" spans="5:5" ht="12.75" x14ac:dyDescent="0.2">
      <c r="E420" s="3"/>
    </row>
    <row r="421" spans="5:5" ht="12.75" x14ac:dyDescent="0.2">
      <c r="E421" s="3"/>
    </row>
    <row r="422" spans="5:5" ht="12.75" x14ac:dyDescent="0.2">
      <c r="E422" s="3"/>
    </row>
    <row r="423" spans="5:5" ht="12.75" x14ac:dyDescent="0.2">
      <c r="E423" s="3"/>
    </row>
    <row r="424" spans="5:5" ht="12.75" x14ac:dyDescent="0.2">
      <c r="E424" s="3"/>
    </row>
    <row r="425" spans="5:5" ht="12.75" x14ac:dyDescent="0.2">
      <c r="E425" s="3"/>
    </row>
    <row r="426" spans="5:5" ht="12.75" x14ac:dyDescent="0.2">
      <c r="E426" s="3"/>
    </row>
    <row r="427" spans="5:5" ht="12.75" x14ac:dyDescent="0.2">
      <c r="E427" s="3"/>
    </row>
    <row r="428" spans="5:5" ht="12.75" x14ac:dyDescent="0.2">
      <c r="E428" s="3"/>
    </row>
    <row r="429" spans="5:5" ht="12.75" x14ac:dyDescent="0.2">
      <c r="E429" s="3"/>
    </row>
    <row r="430" spans="5:5" ht="12.75" x14ac:dyDescent="0.2">
      <c r="E430" s="3"/>
    </row>
    <row r="431" spans="5:5" ht="12.75" x14ac:dyDescent="0.2">
      <c r="E431" s="3"/>
    </row>
    <row r="432" spans="5:5" ht="12.75" x14ac:dyDescent="0.2">
      <c r="E432" s="3"/>
    </row>
    <row r="433" spans="5:5" ht="12.75" x14ac:dyDescent="0.2">
      <c r="E433" s="3"/>
    </row>
    <row r="434" spans="5:5" ht="12.75" x14ac:dyDescent="0.2">
      <c r="E434" s="3"/>
    </row>
    <row r="435" spans="5:5" ht="12.75" x14ac:dyDescent="0.2">
      <c r="E435" s="3"/>
    </row>
    <row r="436" spans="5:5" ht="12.75" x14ac:dyDescent="0.2">
      <c r="E436" s="3"/>
    </row>
    <row r="437" spans="5:5" ht="12.75" x14ac:dyDescent="0.2">
      <c r="E437" s="3"/>
    </row>
    <row r="438" spans="5:5" ht="12.75" x14ac:dyDescent="0.2">
      <c r="E438" s="3"/>
    </row>
    <row r="439" spans="5:5" ht="12.75" x14ac:dyDescent="0.2">
      <c r="E439" s="3"/>
    </row>
    <row r="440" spans="5:5" ht="12.75" x14ac:dyDescent="0.2">
      <c r="E440" s="3"/>
    </row>
    <row r="441" spans="5:5" ht="12.75" x14ac:dyDescent="0.2">
      <c r="E441" s="3"/>
    </row>
    <row r="442" spans="5:5" ht="12.75" x14ac:dyDescent="0.2">
      <c r="E442" s="3"/>
    </row>
    <row r="443" spans="5:5" ht="12.75" x14ac:dyDescent="0.2">
      <c r="E443" s="3"/>
    </row>
    <row r="444" spans="5:5" ht="12.75" x14ac:dyDescent="0.2">
      <c r="E444" s="3"/>
    </row>
    <row r="445" spans="5:5" ht="12.75" x14ac:dyDescent="0.2">
      <c r="E445" s="3"/>
    </row>
    <row r="446" spans="5:5" ht="12.75" x14ac:dyDescent="0.2">
      <c r="E446" s="3"/>
    </row>
    <row r="447" spans="5:5" ht="12.75" x14ac:dyDescent="0.2">
      <c r="E447" s="3"/>
    </row>
    <row r="448" spans="5:5" ht="12.75" x14ac:dyDescent="0.2">
      <c r="E448" s="3"/>
    </row>
    <row r="449" spans="5:5" ht="12.75" x14ac:dyDescent="0.2">
      <c r="E449" s="3"/>
    </row>
    <row r="450" spans="5:5" ht="12.75" x14ac:dyDescent="0.2">
      <c r="E450" s="3"/>
    </row>
    <row r="451" spans="5:5" ht="12.75" x14ac:dyDescent="0.2">
      <c r="E451" s="3"/>
    </row>
    <row r="452" spans="5:5" ht="12.75" x14ac:dyDescent="0.2">
      <c r="E452" s="3"/>
    </row>
    <row r="453" spans="5:5" ht="12.75" x14ac:dyDescent="0.2">
      <c r="E453" s="3"/>
    </row>
    <row r="454" spans="5:5" ht="12.75" x14ac:dyDescent="0.2">
      <c r="E454" s="3"/>
    </row>
    <row r="455" spans="5:5" ht="12.75" x14ac:dyDescent="0.2">
      <c r="E455" s="3"/>
    </row>
    <row r="456" spans="5:5" ht="12.75" x14ac:dyDescent="0.2">
      <c r="E456" s="3"/>
    </row>
    <row r="457" spans="5:5" ht="12.75" x14ac:dyDescent="0.2">
      <c r="E457" s="3"/>
    </row>
    <row r="458" spans="5:5" ht="12.75" x14ac:dyDescent="0.2">
      <c r="E458" s="3"/>
    </row>
    <row r="459" spans="5:5" ht="12.75" x14ac:dyDescent="0.2">
      <c r="E459" s="3"/>
    </row>
    <row r="460" spans="5:5" ht="12.75" x14ac:dyDescent="0.2">
      <c r="E460" s="3"/>
    </row>
    <row r="461" spans="5:5" ht="12.75" x14ac:dyDescent="0.2">
      <c r="E461" s="3"/>
    </row>
    <row r="462" spans="5:5" ht="12.75" x14ac:dyDescent="0.2">
      <c r="E462" s="3"/>
    </row>
    <row r="463" spans="5:5" ht="12.75" x14ac:dyDescent="0.2">
      <c r="E463" s="3"/>
    </row>
    <row r="464" spans="5:5" ht="12.75" x14ac:dyDescent="0.2">
      <c r="E464" s="3"/>
    </row>
    <row r="465" spans="5:5" ht="12.75" x14ac:dyDescent="0.2">
      <c r="E465" s="3"/>
    </row>
    <row r="466" spans="5:5" ht="12.75" x14ac:dyDescent="0.2">
      <c r="E466" s="3"/>
    </row>
    <row r="467" spans="5:5" ht="12.75" x14ac:dyDescent="0.2">
      <c r="E467" s="3"/>
    </row>
    <row r="468" spans="5:5" ht="12.75" x14ac:dyDescent="0.2">
      <c r="E468" s="3"/>
    </row>
    <row r="469" spans="5:5" ht="12.75" x14ac:dyDescent="0.2">
      <c r="E469" s="3"/>
    </row>
    <row r="470" spans="5:5" ht="12.75" x14ac:dyDescent="0.2">
      <c r="E470" s="3"/>
    </row>
    <row r="471" spans="5:5" ht="12.75" x14ac:dyDescent="0.2">
      <c r="E471" s="3"/>
    </row>
    <row r="472" spans="5:5" ht="12.75" x14ac:dyDescent="0.2">
      <c r="E472" s="3"/>
    </row>
    <row r="473" spans="5:5" ht="12.75" x14ac:dyDescent="0.2">
      <c r="E473" s="3"/>
    </row>
    <row r="474" spans="5:5" ht="12.75" x14ac:dyDescent="0.2">
      <c r="E474" s="3"/>
    </row>
    <row r="475" spans="5:5" ht="12.75" x14ac:dyDescent="0.2">
      <c r="E475" s="3"/>
    </row>
    <row r="476" spans="5:5" ht="12.75" x14ac:dyDescent="0.2">
      <c r="E476" s="3"/>
    </row>
    <row r="477" spans="5:5" ht="12.75" x14ac:dyDescent="0.2">
      <c r="E477" s="3"/>
    </row>
    <row r="478" spans="5:5" ht="12.75" x14ac:dyDescent="0.2">
      <c r="E478" s="3"/>
    </row>
    <row r="479" spans="5:5" ht="12.75" x14ac:dyDescent="0.2">
      <c r="E479" s="3"/>
    </row>
    <row r="480" spans="5:5" ht="12.75" x14ac:dyDescent="0.2">
      <c r="E480" s="3"/>
    </row>
    <row r="481" spans="5:5" ht="12.75" x14ac:dyDescent="0.2">
      <c r="E481" s="3"/>
    </row>
    <row r="482" spans="5:5" ht="12.75" x14ac:dyDescent="0.2">
      <c r="E482" s="3"/>
    </row>
    <row r="483" spans="5:5" ht="12.75" x14ac:dyDescent="0.2">
      <c r="E483" s="3"/>
    </row>
    <row r="484" spans="5:5" ht="12.75" x14ac:dyDescent="0.2">
      <c r="E484" s="3"/>
    </row>
    <row r="485" spans="5:5" ht="12.75" x14ac:dyDescent="0.2">
      <c r="E485" s="3"/>
    </row>
    <row r="486" spans="5:5" ht="12.75" x14ac:dyDescent="0.2">
      <c r="E486" s="3"/>
    </row>
    <row r="487" spans="5:5" ht="12.75" x14ac:dyDescent="0.2">
      <c r="E487" s="3"/>
    </row>
    <row r="488" spans="5:5" ht="12.75" x14ac:dyDescent="0.2">
      <c r="E488" s="3"/>
    </row>
    <row r="489" spans="5:5" ht="12.75" x14ac:dyDescent="0.2">
      <c r="E489" s="3"/>
    </row>
    <row r="490" spans="5:5" ht="12.75" x14ac:dyDescent="0.2">
      <c r="E490" s="3"/>
    </row>
    <row r="491" spans="5:5" ht="12.75" x14ac:dyDescent="0.2">
      <c r="E491" s="3"/>
    </row>
    <row r="492" spans="5:5" ht="12.75" x14ac:dyDescent="0.2">
      <c r="E492" s="3"/>
    </row>
    <row r="493" spans="5:5" ht="12.75" x14ac:dyDescent="0.2">
      <c r="E493" s="3"/>
    </row>
    <row r="494" spans="5:5" ht="12.75" x14ac:dyDescent="0.2">
      <c r="E494" s="3"/>
    </row>
    <row r="495" spans="5:5" ht="12.75" x14ac:dyDescent="0.2">
      <c r="E495" s="3"/>
    </row>
    <row r="496" spans="5:5" ht="12.75" x14ac:dyDescent="0.2">
      <c r="E496" s="3"/>
    </row>
    <row r="497" spans="5:5" ht="12.75" x14ac:dyDescent="0.2">
      <c r="E497" s="3"/>
    </row>
    <row r="498" spans="5:5" ht="12.75" x14ac:dyDescent="0.2">
      <c r="E498" s="3"/>
    </row>
    <row r="499" spans="5:5" ht="12.75" x14ac:dyDescent="0.2">
      <c r="E499" s="3"/>
    </row>
    <row r="500" spans="5:5" ht="12.75" x14ac:dyDescent="0.2">
      <c r="E500" s="3"/>
    </row>
    <row r="501" spans="5:5" ht="12.75" x14ac:dyDescent="0.2">
      <c r="E501" s="3"/>
    </row>
    <row r="502" spans="5:5" ht="12.75" x14ac:dyDescent="0.2">
      <c r="E502" s="3"/>
    </row>
    <row r="503" spans="5:5" ht="12.75" x14ac:dyDescent="0.2">
      <c r="E503" s="3"/>
    </row>
    <row r="504" spans="5:5" ht="12.75" x14ac:dyDescent="0.2">
      <c r="E504" s="3"/>
    </row>
    <row r="505" spans="5:5" ht="12.75" x14ac:dyDescent="0.2">
      <c r="E505" s="3"/>
    </row>
    <row r="506" spans="5:5" ht="12.75" x14ac:dyDescent="0.2">
      <c r="E506" s="3"/>
    </row>
    <row r="507" spans="5:5" ht="12.75" x14ac:dyDescent="0.2">
      <c r="E507" s="3"/>
    </row>
    <row r="508" spans="5:5" ht="12.75" x14ac:dyDescent="0.2">
      <c r="E508" s="3"/>
    </row>
    <row r="509" spans="5:5" ht="12.75" x14ac:dyDescent="0.2">
      <c r="E509" s="3"/>
    </row>
    <row r="510" spans="5:5" ht="12.75" x14ac:dyDescent="0.2">
      <c r="E510" s="3"/>
    </row>
    <row r="511" spans="5:5" ht="12.75" x14ac:dyDescent="0.2">
      <c r="E511" s="3"/>
    </row>
    <row r="512" spans="5:5" ht="12.75" x14ac:dyDescent="0.2">
      <c r="E512" s="3"/>
    </row>
    <row r="513" spans="5:5" ht="12.75" x14ac:dyDescent="0.2">
      <c r="E513" s="3"/>
    </row>
    <row r="514" spans="5:5" ht="12.75" x14ac:dyDescent="0.2">
      <c r="E514" s="3"/>
    </row>
    <row r="515" spans="5:5" ht="12.75" x14ac:dyDescent="0.2">
      <c r="E515" s="3"/>
    </row>
    <row r="516" spans="5:5" ht="12.75" x14ac:dyDescent="0.2">
      <c r="E516" s="3"/>
    </row>
    <row r="517" spans="5:5" ht="12.75" x14ac:dyDescent="0.2">
      <c r="E517" s="3"/>
    </row>
    <row r="518" spans="5:5" ht="12.75" x14ac:dyDescent="0.2">
      <c r="E518" s="3"/>
    </row>
    <row r="519" spans="5:5" ht="12.75" x14ac:dyDescent="0.2">
      <c r="E519" s="3"/>
    </row>
    <row r="520" spans="5:5" ht="12.75" x14ac:dyDescent="0.2">
      <c r="E520" s="3"/>
    </row>
    <row r="521" spans="5:5" ht="12.75" x14ac:dyDescent="0.2">
      <c r="E521" s="3"/>
    </row>
    <row r="522" spans="5:5" ht="12.75" x14ac:dyDescent="0.2">
      <c r="E522" s="3"/>
    </row>
    <row r="523" spans="5:5" ht="12.75" x14ac:dyDescent="0.2">
      <c r="E523" s="3"/>
    </row>
    <row r="524" spans="5:5" ht="12.75" x14ac:dyDescent="0.2">
      <c r="E524" s="3"/>
    </row>
    <row r="525" spans="5:5" ht="12.75" x14ac:dyDescent="0.2">
      <c r="E525" s="3"/>
    </row>
    <row r="526" spans="5:5" ht="12.75" x14ac:dyDescent="0.2">
      <c r="E526" s="3"/>
    </row>
    <row r="527" spans="5:5" ht="12.75" x14ac:dyDescent="0.2">
      <c r="E527" s="3"/>
    </row>
    <row r="528" spans="5:5" ht="12.75" x14ac:dyDescent="0.2">
      <c r="E528" s="3"/>
    </row>
    <row r="529" spans="5:5" ht="12.75" x14ac:dyDescent="0.2">
      <c r="E529" s="3"/>
    </row>
    <row r="530" spans="5:5" ht="12.75" x14ac:dyDescent="0.2">
      <c r="E530" s="3"/>
    </row>
    <row r="531" spans="5:5" ht="12.75" x14ac:dyDescent="0.2">
      <c r="E531" s="3"/>
    </row>
    <row r="532" spans="5:5" ht="12.75" x14ac:dyDescent="0.2">
      <c r="E532" s="3"/>
    </row>
    <row r="533" spans="5:5" ht="12.75" x14ac:dyDescent="0.2">
      <c r="E533" s="3"/>
    </row>
    <row r="534" spans="5:5" ht="12.75" x14ac:dyDescent="0.2">
      <c r="E534" s="3"/>
    </row>
    <row r="535" spans="5:5" ht="12.75" x14ac:dyDescent="0.2">
      <c r="E535" s="3"/>
    </row>
    <row r="536" spans="5:5" ht="12.75" x14ac:dyDescent="0.2">
      <c r="E536" s="3"/>
    </row>
    <row r="537" spans="5:5" ht="12.75" x14ac:dyDescent="0.2">
      <c r="E537" s="3"/>
    </row>
    <row r="538" spans="5:5" ht="12.75" x14ac:dyDescent="0.2">
      <c r="E538" s="3"/>
    </row>
    <row r="539" spans="5:5" ht="12.75" x14ac:dyDescent="0.2">
      <c r="E539" s="3"/>
    </row>
    <row r="540" spans="5:5" ht="12.75" x14ac:dyDescent="0.2">
      <c r="E540" s="3"/>
    </row>
    <row r="541" spans="5:5" ht="12.75" x14ac:dyDescent="0.2">
      <c r="E541" s="3"/>
    </row>
    <row r="542" spans="5:5" ht="12.75" x14ac:dyDescent="0.2">
      <c r="E542" s="3"/>
    </row>
    <row r="543" spans="5:5" ht="12.75" x14ac:dyDescent="0.2">
      <c r="E543" s="3"/>
    </row>
    <row r="544" spans="5:5" ht="12.75" x14ac:dyDescent="0.2">
      <c r="E544" s="3"/>
    </row>
    <row r="545" spans="5:5" ht="12.75" x14ac:dyDescent="0.2">
      <c r="E545" s="3"/>
    </row>
    <row r="546" spans="5:5" ht="12.75" x14ac:dyDescent="0.2">
      <c r="E546" s="3"/>
    </row>
    <row r="547" spans="5:5" ht="12.75" x14ac:dyDescent="0.2">
      <c r="E547" s="3"/>
    </row>
    <row r="548" spans="5:5" ht="12.75" x14ac:dyDescent="0.2">
      <c r="E548" s="3"/>
    </row>
    <row r="549" spans="5:5" ht="12.75" x14ac:dyDescent="0.2">
      <c r="E549" s="3"/>
    </row>
    <row r="550" spans="5:5" ht="12.75" x14ac:dyDescent="0.2">
      <c r="E550" s="3"/>
    </row>
    <row r="551" spans="5:5" ht="12.75" x14ac:dyDescent="0.2">
      <c r="E551" s="3"/>
    </row>
    <row r="552" spans="5:5" ht="12.75" x14ac:dyDescent="0.2">
      <c r="E552" s="3"/>
    </row>
    <row r="553" spans="5:5" ht="12.75" x14ac:dyDescent="0.2">
      <c r="E553" s="3"/>
    </row>
    <row r="554" spans="5:5" ht="12.75" x14ac:dyDescent="0.2">
      <c r="E554" s="3"/>
    </row>
    <row r="555" spans="5:5" ht="12.75" x14ac:dyDescent="0.2">
      <c r="E555" s="3"/>
    </row>
    <row r="556" spans="5:5" ht="12.75" x14ac:dyDescent="0.2">
      <c r="E556" s="3"/>
    </row>
    <row r="557" spans="5:5" ht="12.75" x14ac:dyDescent="0.2">
      <c r="E557" s="3"/>
    </row>
    <row r="558" spans="5:5" ht="12.75" x14ac:dyDescent="0.2">
      <c r="E558" s="3"/>
    </row>
    <row r="559" spans="5:5" ht="12.75" x14ac:dyDescent="0.2">
      <c r="E559" s="3"/>
    </row>
    <row r="560" spans="5:5" ht="12.75" x14ac:dyDescent="0.2">
      <c r="E560" s="3"/>
    </row>
    <row r="561" spans="5:5" ht="12.75" x14ac:dyDescent="0.2">
      <c r="E561" s="3"/>
    </row>
    <row r="562" spans="5:5" ht="12.75" x14ac:dyDescent="0.2">
      <c r="E562" s="3"/>
    </row>
    <row r="563" spans="5:5" ht="12.75" x14ac:dyDescent="0.2">
      <c r="E563" s="3"/>
    </row>
    <row r="564" spans="5:5" ht="12.75" x14ac:dyDescent="0.2">
      <c r="E564" s="3"/>
    </row>
    <row r="565" spans="5:5" ht="12.75" x14ac:dyDescent="0.2">
      <c r="E565" s="3"/>
    </row>
    <row r="566" spans="5:5" ht="12.75" x14ac:dyDescent="0.2">
      <c r="E566" s="3"/>
    </row>
    <row r="567" spans="5:5" ht="12.75" x14ac:dyDescent="0.2">
      <c r="E567" s="3"/>
    </row>
    <row r="568" spans="5:5" ht="12.75" x14ac:dyDescent="0.2">
      <c r="E568" s="3"/>
    </row>
    <row r="569" spans="5:5" ht="12.75" x14ac:dyDescent="0.2">
      <c r="E569" s="3"/>
    </row>
    <row r="570" spans="5:5" ht="12.75" x14ac:dyDescent="0.2">
      <c r="E570" s="3"/>
    </row>
    <row r="571" spans="5:5" ht="12.75" x14ac:dyDescent="0.2">
      <c r="E571" s="3"/>
    </row>
    <row r="572" spans="5:5" ht="12.75" x14ac:dyDescent="0.2">
      <c r="E572" s="3"/>
    </row>
    <row r="573" spans="5:5" ht="12.75" x14ac:dyDescent="0.2">
      <c r="E573" s="3"/>
    </row>
    <row r="574" spans="5:5" ht="12.75" x14ac:dyDescent="0.2">
      <c r="E574" s="3"/>
    </row>
    <row r="575" spans="5:5" ht="12.75" x14ac:dyDescent="0.2">
      <c r="E575" s="3"/>
    </row>
    <row r="576" spans="5:5" ht="12.75" x14ac:dyDescent="0.2">
      <c r="E576" s="3"/>
    </row>
    <row r="577" spans="5:5" ht="12.75" x14ac:dyDescent="0.2">
      <c r="E577" s="3"/>
    </row>
    <row r="578" spans="5:5" ht="12.75" x14ac:dyDescent="0.2">
      <c r="E578" s="3"/>
    </row>
    <row r="579" spans="5:5" ht="12.75" x14ac:dyDescent="0.2">
      <c r="E579" s="3"/>
    </row>
    <row r="580" spans="5:5" ht="12.75" x14ac:dyDescent="0.2">
      <c r="E580" s="3"/>
    </row>
    <row r="581" spans="5:5" ht="12.75" x14ac:dyDescent="0.2">
      <c r="E581" s="3"/>
    </row>
    <row r="582" spans="5:5" ht="12.75" x14ac:dyDescent="0.2">
      <c r="E582" s="3"/>
    </row>
    <row r="583" spans="5:5" ht="12.75" x14ac:dyDescent="0.2">
      <c r="E583" s="3"/>
    </row>
    <row r="584" spans="5:5" ht="12.75" x14ac:dyDescent="0.2">
      <c r="E584" s="3"/>
    </row>
    <row r="585" spans="5:5" ht="12.75" x14ac:dyDescent="0.2">
      <c r="E585" s="3"/>
    </row>
    <row r="586" spans="5:5" ht="12.75" x14ac:dyDescent="0.2">
      <c r="E586" s="3"/>
    </row>
    <row r="587" spans="5:5" ht="12.75" x14ac:dyDescent="0.2">
      <c r="E587" s="3"/>
    </row>
    <row r="588" spans="5:5" ht="12.75" x14ac:dyDescent="0.2">
      <c r="E588" s="3"/>
    </row>
    <row r="589" spans="5:5" ht="12.75" x14ac:dyDescent="0.2">
      <c r="E589" s="3"/>
    </row>
    <row r="590" spans="5:5" ht="12.75" x14ac:dyDescent="0.2">
      <c r="E590" s="3"/>
    </row>
    <row r="591" spans="5:5" ht="12.75" x14ac:dyDescent="0.2">
      <c r="E591" s="3"/>
    </row>
    <row r="592" spans="5:5" ht="12.75" x14ac:dyDescent="0.2">
      <c r="E592" s="3"/>
    </row>
    <row r="593" spans="5:5" ht="12.75" x14ac:dyDescent="0.2">
      <c r="E593" s="3"/>
    </row>
    <row r="594" spans="5:5" ht="12.75" x14ac:dyDescent="0.2">
      <c r="E594" s="3"/>
    </row>
    <row r="595" spans="5:5" ht="12.75" x14ac:dyDescent="0.2">
      <c r="E595" s="3"/>
    </row>
    <row r="596" spans="5:5" ht="12.75" x14ac:dyDescent="0.2">
      <c r="E596" s="3"/>
    </row>
    <row r="597" spans="5:5" ht="12.75" x14ac:dyDescent="0.2">
      <c r="E597" s="3"/>
    </row>
    <row r="598" spans="5:5" ht="12.75" x14ac:dyDescent="0.2">
      <c r="E598" s="3"/>
    </row>
    <row r="599" spans="5:5" ht="12.75" x14ac:dyDescent="0.2">
      <c r="E599" s="3"/>
    </row>
    <row r="600" spans="5:5" ht="12.75" x14ac:dyDescent="0.2">
      <c r="E600" s="3"/>
    </row>
    <row r="601" spans="5:5" ht="12.75" x14ac:dyDescent="0.2">
      <c r="E601" s="3"/>
    </row>
    <row r="602" spans="5:5" ht="12.75" x14ac:dyDescent="0.2">
      <c r="E602" s="3"/>
    </row>
    <row r="603" spans="5:5" ht="12.75" x14ac:dyDescent="0.2">
      <c r="E603" s="3"/>
    </row>
    <row r="604" spans="5:5" ht="12.75" x14ac:dyDescent="0.2">
      <c r="E604" s="3"/>
    </row>
    <row r="605" spans="5:5" ht="12.75" x14ac:dyDescent="0.2">
      <c r="E605" s="3"/>
    </row>
    <row r="606" spans="5:5" ht="12.75" x14ac:dyDescent="0.2">
      <c r="E606" s="3"/>
    </row>
    <row r="607" spans="5:5" ht="12.75" x14ac:dyDescent="0.2">
      <c r="E607" s="3"/>
    </row>
    <row r="608" spans="5:5" ht="12.75" x14ac:dyDescent="0.2">
      <c r="E608" s="3"/>
    </row>
    <row r="609" spans="5:5" ht="12.75" x14ac:dyDescent="0.2">
      <c r="E609" s="3"/>
    </row>
    <row r="610" spans="5:5" ht="12.75" x14ac:dyDescent="0.2">
      <c r="E610" s="3"/>
    </row>
    <row r="611" spans="5:5" ht="12.75" x14ac:dyDescent="0.2">
      <c r="E611" s="3"/>
    </row>
    <row r="612" spans="5:5" ht="12.75" x14ac:dyDescent="0.2">
      <c r="E612" s="3"/>
    </row>
    <row r="613" spans="5:5" ht="12.75" x14ac:dyDescent="0.2">
      <c r="E613" s="3"/>
    </row>
    <row r="614" spans="5:5" ht="12.75" x14ac:dyDescent="0.2">
      <c r="E614" s="3"/>
    </row>
    <row r="615" spans="5:5" ht="12.75" x14ac:dyDescent="0.2">
      <c r="E615" s="3"/>
    </row>
    <row r="616" spans="5:5" ht="12.75" x14ac:dyDescent="0.2">
      <c r="E616" s="3"/>
    </row>
    <row r="617" spans="5:5" ht="12.75" x14ac:dyDescent="0.2">
      <c r="E617" s="3"/>
    </row>
    <row r="618" spans="5:5" ht="12.75" x14ac:dyDescent="0.2">
      <c r="E618" s="3"/>
    </row>
    <row r="619" spans="5:5" ht="12.75" x14ac:dyDescent="0.2">
      <c r="E619" s="3"/>
    </row>
    <row r="620" spans="5:5" ht="12.75" x14ac:dyDescent="0.2">
      <c r="E620" s="3"/>
    </row>
    <row r="621" spans="5:5" ht="12.75" x14ac:dyDescent="0.2">
      <c r="E621" s="3"/>
    </row>
    <row r="622" spans="5:5" ht="12.75" x14ac:dyDescent="0.2">
      <c r="E622" s="3"/>
    </row>
    <row r="623" spans="5:5" ht="12.75" x14ac:dyDescent="0.2">
      <c r="E623" s="3"/>
    </row>
    <row r="624" spans="5:5" ht="12.75" x14ac:dyDescent="0.2">
      <c r="E624" s="3"/>
    </row>
    <row r="625" spans="5:5" ht="12.75" x14ac:dyDescent="0.2">
      <c r="E625" s="3"/>
    </row>
    <row r="626" spans="5:5" ht="12.75" x14ac:dyDescent="0.2">
      <c r="E626" s="3"/>
    </row>
    <row r="627" spans="5:5" ht="12.75" x14ac:dyDescent="0.2">
      <c r="E627" s="3"/>
    </row>
    <row r="628" spans="5:5" ht="12.75" x14ac:dyDescent="0.2">
      <c r="E628" s="3"/>
    </row>
    <row r="629" spans="5:5" ht="12.75" x14ac:dyDescent="0.2">
      <c r="E629" s="3"/>
    </row>
    <row r="630" spans="5:5" ht="12.75" x14ac:dyDescent="0.2">
      <c r="E630" s="3"/>
    </row>
    <row r="631" spans="5:5" ht="12.75" x14ac:dyDescent="0.2">
      <c r="E631" s="3"/>
    </row>
    <row r="632" spans="5:5" ht="12.75" x14ac:dyDescent="0.2">
      <c r="E632" s="3"/>
    </row>
    <row r="633" spans="5:5" ht="12.75" x14ac:dyDescent="0.2">
      <c r="E633" s="3"/>
    </row>
    <row r="634" spans="5:5" ht="12.75" x14ac:dyDescent="0.2">
      <c r="E634" s="3"/>
    </row>
    <row r="635" spans="5:5" ht="12.75" x14ac:dyDescent="0.2">
      <c r="E635" s="3"/>
    </row>
    <row r="636" spans="5:5" ht="12.75" x14ac:dyDescent="0.2">
      <c r="E636" s="3"/>
    </row>
    <row r="637" spans="5:5" ht="12.75" x14ac:dyDescent="0.2">
      <c r="E637" s="3"/>
    </row>
    <row r="638" spans="5:5" ht="12.75" x14ac:dyDescent="0.2">
      <c r="E638" s="3"/>
    </row>
    <row r="639" spans="5:5" ht="12.75" x14ac:dyDescent="0.2">
      <c r="E639" s="3"/>
    </row>
    <row r="640" spans="5:5" ht="12.75" x14ac:dyDescent="0.2">
      <c r="E640" s="3"/>
    </row>
    <row r="641" spans="5:5" ht="12.75" x14ac:dyDescent="0.2">
      <c r="E641" s="3"/>
    </row>
    <row r="642" spans="5:5" ht="12.75" x14ac:dyDescent="0.2">
      <c r="E642" s="3"/>
    </row>
    <row r="643" spans="5:5" ht="12.75" x14ac:dyDescent="0.2">
      <c r="E643" s="3"/>
    </row>
    <row r="644" spans="5:5" ht="12.75" x14ac:dyDescent="0.2">
      <c r="E644" s="3"/>
    </row>
    <row r="645" spans="5:5" ht="12.75" x14ac:dyDescent="0.2">
      <c r="E645" s="3"/>
    </row>
    <row r="646" spans="5:5" ht="12.75" x14ac:dyDescent="0.2">
      <c r="E646" s="3"/>
    </row>
    <row r="647" spans="5:5" ht="12.75" x14ac:dyDescent="0.2">
      <c r="E647" s="3"/>
    </row>
    <row r="648" spans="5:5" ht="12.75" x14ac:dyDescent="0.2">
      <c r="E648" s="3"/>
    </row>
    <row r="649" spans="5:5" ht="12.75" x14ac:dyDescent="0.2">
      <c r="E649" s="3"/>
    </row>
    <row r="650" spans="5:5" ht="12.75" x14ac:dyDescent="0.2">
      <c r="E650" s="3"/>
    </row>
    <row r="651" spans="5:5" ht="12.75" x14ac:dyDescent="0.2">
      <c r="E651" s="3"/>
    </row>
    <row r="652" spans="5:5" ht="12.75" x14ac:dyDescent="0.2">
      <c r="E652" s="3"/>
    </row>
    <row r="653" spans="5:5" ht="12.75" x14ac:dyDescent="0.2">
      <c r="E653" s="3"/>
    </row>
    <row r="654" spans="5:5" ht="12.75" x14ac:dyDescent="0.2">
      <c r="E654" s="3"/>
    </row>
    <row r="655" spans="5:5" ht="12.75" x14ac:dyDescent="0.2">
      <c r="E655" s="3"/>
    </row>
    <row r="656" spans="5:5" ht="12.75" x14ac:dyDescent="0.2">
      <c r="E656" s="3"/>
    </row>
    <row r="657" spans="5:5" ht="12.75" x14ac:dyDescent="0.2">
      <c r="E657" s="3"/>
    </row>
    <row r="658" spans="5:5" ht="12.75" x14ac:dyDescent="0.2">
      <c r="E658" s="3"/>
    </row>
    <row r="659" spans="5:5" ht="12.75" x14ac:dyDescent="0.2">
      <c r="E659" s="3"/>
    </row>
    <row r="660" spans="5:5" ht="12.75" x14ac:dyDescent="0.2">
      <c r="E660" s="3"/>
    </row>
    <row r="661" spans="5:5" ht="12.75" x14ac:dyDescent="0.2">
      <c r="E661" s="3"/>
    </row>
    <row r="662" spans="5:5" ht="12.75" x14ac:dyDescent="0.2">
      <c r="E662" s="3"/>
    </row>
    <row r="663" spans="5:5" ht="12.75" x14ac:dyDescent="0.2">
      <c r="E663" s="3"/>
    </row>
    <row r="664" spans="5:5" ht="12.75" x14ac:dyDescent="0.2">
      <c r="E664" s="3"/>
    </row>
    <row r="665" spans="5:5" ht="12.75" x14ac:dyDescent="0.2">
      <c r="E665" s="3"/>
    </row>
    <row r="666" spans="5:5" ht="12.75" x14ac:dyDescent="0.2">
      <c r="E666" s="3"/>
    </row>
    <row r="667" spans="5:5" ht="12.75" x14ac:dyDescent="0.2">
      <c r="E667" s="3"/>
    </row>
    <row r="668" spans="5:5" ht="12.75" x14ac:dyDescent="0.2">
      <c r="E668" s="3"/>
    </row>
    <row r="669" spans="5:5" ht="12.75" x14ac:dyDescent="0.2">
      <c r="E669" s="3"/>
    </row>
    <row r="670" spans="5:5" ht="12.75" x14ac:dyDescent="0.2">
      <c r="E670" s="3"/>
    </row>
    <row r="671" spans="5:5" ht="12.75" x14ac:dyDescent="0.2">
      <c r="E671" s="3"/>
    </row>
    <row r="672" spans="5:5" ht="12.75" x14ac:dyDescent="0.2">
      <c r="E672" s="3"/>
    </row>
    <row r="673" spans="5:5" ht="12.75" x14ac:dyDescent="0.2">
      <c r="E673" s="3"/>
    </row>
    <row r="674" spans="5:5" ht="12.75" x14ac:dyDescent="0.2">
      <c r="E674" s="3"/>
    </row>
    <row r="675" spans="5:5" ht="12.75" x14ac:dyDescent="0.2">
      <c r="E675" s="3"/>
    </row>
    <row r="676" spans="5:5" ht="12.75" x14ac:dyDescent="0.2">
      <c r="E676" s="3"/>
    </row>
    <row r="677" spans="5:5" ht="12.75" x14ac:dyDescent="0.2">
      <c r="E677" s="3"/>
    </row>
    <row r="678" spans="5:5" ht="12.75" x14ac:dyDescent="0.2">
      <c r="E678" s="3"/>
    </row>
    <row r="679" spans="5:5" ht="12.75" x14ac:dyDescent="0.2">
      <c r="E679" s="3"/>
    </row>
    <row r="680" spans="5:5" ht="12.75" x14ac:dyDescent="0.2">
      <c r="E680" s="3"/>
    </row>
    <row r="681" spans="5:5" ht="12.75" x14ac:dyDescent="0.2">
      <c r="E681" s="3"/>
    </row>
    <row r="682" spans="5:5" ht="12.75" x14ac:dyDescent="0.2">
      <c r="E682" s="3"/>
    </row>
    <row r="683" spans="5:5" ht="12.75" x14ac:dyDescent="0.2">
      <c r="E683" s="3"/>
    </row>
    <row r="684" spans="5:5" ht="12.75" x14ac:dyDescent="0.2">
      <c r="E684" s="3"/>
    </row>
    <row r="685" spans="5:5" ht="12.75" x14ac:dyDescent="0.2">
      <c r="E685" s="3"/>
    </row>
    <row r="686" spans="5:5" ht="12.75" x14ac:dyDescent="0.2">
      <c r="E686" s="3"/>
    </row>
    <row r="687" spans="5:5" ht="12.75" x14ac:dyDescent="0.2">
      <c r="E687" s="3"/>
    </row>
    <row r="688" spans="5:5" ht="12.75" x14ac:dyDescent="0.2">
      <c r="E688" s="3"/>
    </row>
    <row r="689" spans="5:5" ht="12.75" x14ac:dyDescent="0.2">
      <c r="E689" s="3"/>
    </row>
    <row r="690" spans="5:5" ht="12.75" x14ac:dyDescent="0.2">
      <c r="E690" s="3"/>
    </row>
    <row r="691" spans="5:5" ht="12.75" x14ac:dyDescent="0.2">
      <c r="E691" s="3"/>
    </row>
    <row r="692" spans="5:5" ht="12.75" x14ac:dyDescent="0.2">
      <c r="E692" s="3"/>
    </row>
    <row r="693" spans="5:5" ht="12.75" x14ac:dyDescent="0.2">
      <c r="E693" s="3"/>
    </row>
    <row r="694" spans="5:5" ht="12.75" x14ac:dyDescent="0.2">
      <c r="E694" s="3"/>
    </row>
    <row r="695" spans="5:5" ht="12.75" x14ac:dyDescent="0.2">
      <c r="E695" s="3"/>
    </row>
    <row r="696" spans="5:5" ht="12.75" x14ac:dyDescent="0.2">
      <c r="E696" s="3"/>
    </row>
    <row r="697" spans="5:5" ht="12.75" x14ac:dyDescent="0.2">
      <c r="E697" s="3"/>
    </row>
    <row r="698" spans="5:5" ht="12.75" x14ac:dyDescent="0.2">
      <c r="E698" s="3"/>
    </row>
    <row r="699" spans="5:5" ht="12.75" x14ac:dyDescent="0.2">
      <c r="E699" s="3"/>
    </row>
    <row r="700" spans="5:5" ht="12.75" x14ac:dyDescent="0.2">
      <c r="E700" s="3"/>
    </row>
    <row r="701" spans="5:5" ht="12.75" x14ac:dyDescent="0.2">
      <c r="E701" s="3"/>
    </row>
    <row r="702" spans="5:5" ht="12.75" x14ac:dyDescent="0.2">
      <c r="E702" s="3"/>
    </row>
    <row r="703" spans="5:5" ht="12.75" x14ac:dyDescent="0.2">
      <c r="E703" s="3"/>
    </row>
    <row r="704" spans="5:5" ht="12.75" x14ac:dyDescent="0.2">
      <c r="E704" s="3"/>
    </row>
    <row r="705" spans="5:5" ht="12.75" x14ac:dyDescent="0.2">
      <c r="E705" s="3"/>
    </row>
    <row r="706" spans="5:5" ht="12.75" x14ac:dyDescent="0.2">
      <c r="E706" s="3"/>
    </row>
    <row r="707" spans="5:5" ht="12.75" x14ac:dyDescent="0.2">
      <c r="E707" s="3"/>
    </row>
    <row r="708" spans="5:5" ht="12.75" x14ac:dyDescent="0.2">
      <c r="E708" s="3"/>
    </row>
    <row r="709" spans="5:5" ht="12.75" x14ac:dyDescent="0.2">
      <c r="E709" s="3"/>
    </row>
    <row r="710" spans="5:5" ht="12.75" x14ac:dyDescent="0.2">
      <c r="E710" s="3"/>
    </row>
    <row r="711" spans="5:5" ht="12.75" x14ac:dyDescent="0.2">
      <c r="E711" s="3"/>
    </row>
    <row r="712" spans="5:5" ht="12.75" x14ac:dyDescent="0.2">
      <c r="E712" s="3"/>
    </row>
    <row r="713" spans="5:5" ht="12.75" x14ac:dyDescent="0.2">
      <c r="E713" s="3"/>
    </row>
    <row r="714" spans="5:5" ht="12.75" x14ac:dyDescent="0.2">
      <c r="E714" s="3"/>
    </row>
    <row r="715" spans="5:5" ht="12.75" x14ac:dyDescent="0.2">
      <c r="E715" s="3"/>
    </row>
    <row r="716" spans="5:5" ht="12.75" x14ac:dyDescent="0.2">
      <c r="E716" s="3"/>
    </row>
    <row r="717" spans="5:5" ht="12.75" x14ac:dyDescent="0.2">
      <c r="E717" s="3"/>
    </row>
    <row r="718" spans="5:5" ht="12.75" x14ac:dyDescent="0.2">
      <c r="E718" s="3"/>
    </row>
    <row r="719" spans="5:5" ht="12.75" x14ac:dyDescent="0.2">
      <c r="E719" s="3"/>
    </row>
    <row r="720" spans="5:5" ht="12.75" x14ac:dyDescent="0.2">
      <c r="E720" s="3"/>
    </row>
    <row r="721" spans="5:5" ht="12.75" x14ac:dyDescent="0.2">
      <c r="E721" s="3"/>
    </row>
    <row r="722" spans="5:5" ht="12.75" x14ac:dyDescent="0.2">
      <c r="E722" s="3"/>
    </row>
    <row r="723" spans="5:5" ht="12.75" x14ac:dyDescent="0.2">
      <c r="E723" s="3"/>
    </row>
    <row r="724" spans="5:5" ht="12.75" x14ac:dyDescent="0.2">
      <c r="E724" s="3"/>
    </row>
    <row r="725" spans="5:5" ht="12.75" x14ac:dyDescent="0.2">
      <c r="E725" s="3"/>
    </row>
    <row r="726" spans="5:5" ht="12.75" x14ac:dyDescent="0.2">
      <c r="E726" s="3"/>
    </row>
    <row r="727" spans="5:5" ht="12.75" x14ac:dyDescent="0.2">
      <c r="E727" s="3"/>
    </row>
    <row r="728" spans="5:5" ht="12.75" x14ac:dyDescent="0.2">
      <c r="E728" s="3"/>
    </row>
    <row r="729" spans="5:5" ht="12.75" x14ac:dyDescent="0.2">
      <c r="E729" s="3"/>
    </row>
    <row r="730" spans="5:5" ht="12.75" x14ac:dyDescent="0.2">
      <c r="E730" s="3"/>
    </row>
    <row r="731" spans="5:5" ht="12.75" x14ac:dyDescent="0.2">
      <c r="E731" s="3"/>
    </row>
    <row r="732" spans="5:5" ht="12.75" x14ac:dyDescent="0.2">
      <c r="E732" s="3"/>
    </row>
    <row r="733" spans="5:5" ht="12.75" x14ac:dyDescent="0.2">
      <c r="E733" s="3"/>
    </row>
    <row r="734" spans="5:5" ht="12.75" x14ac:dyDescent="0.2">
      <c r="E734" s="3"/>
    </row>
    <row r="735" spans="5:5" ht="12.75" x14ac:dyDescent="0.2">
      <c r="E735" s="3"/>
    </row>
    <row r="736" spans="5:5" ht="12.75" x14ac:dyDescent="0.2">
      <c r="E736" s="3"/>
    </row>
    <row r="737" spans="5:5" ht="12.75" x14ac:dyDescent="0.2">
      <c r="E737" s="3"/>
    </row>
    <row r="738" spans="5:5" ht="12.75" x14ac:dyDescent="0.2">
      <c r="E738" s="3"/>
    </row>
    <row r="739" spans="5:5" ht="12.75" x14ac:dyDescent="0.2">
      <c r="E739" s="3"/>
    </row>
    <row r="740" spans="5:5" ht="12.75" x14ac:dyDescent="0.2">
      <c r="E740" s="3"/>
    </row>
    <row r="741" spans="5:5" ht="12.75" x14ac:dyDescent="0.2">
      <c r="E741" s="3"/>
    </row>
    <row r="742" spans="5:5" ht="12.75" x14ac:dyDescent="0.2">
      <c r="E742" s="3"/>
    </row>
    <row r="743" spans="5:5" ht="12.75" x14ac:dyDescent="0.2">
      <c r="E743" s="3"/>
    </row>
    <row r="744" spans="5:5" ht="12.75" x14ac:dyDescent="0.2">
      <c r="E744" s="3"/>
    </row>
    <row r="745" spans="5:5" ht="12.75" x14ac:dyDescent="0.2">
      <c r="E745" s="3"/>
    </row>
    <row r="746" spans="5:5" ht="12.75" x14ac:dyDescent="0.2">
      <c r="E746" s="3"/>
    </row>
    <row r="747" spans="5:5" ht="12.75" x14ac:dyDescent="0.2">
      <c r="E747" s="3"/>
    </row>
    <row r="748" spans="5:5" ht="12.75" x14ac:dyDescent="0.2">
      <c r="E748" s="3"/>
    </row>
    <row r="749" spans="5:5" ht="12.75" x14ac:dyDescent="0.2">
      <c r="E749" s="3"/>
    </row>
    <row r="750" spans="5:5" ht="12.75" x14ac:dyDescent="0.2">
      <c r="E750" s="3"/>
    </row>
    <row r="751" spans="5:5" ht="12.75" x14ac:dyDescent="0.2">
      <c r="E751" s="3"/>
    </row>
    <row r="752" spans="5:5" ht="12.75" x14ac:dyDescent="0.2">
      <c r="E752" s="3"/>
    </row>
    <row r="753" spans="5:5" ht="12.75" x14ac:dyDescent="0.2">
      <c r="E753" s="3"/>
    </row>
    <row r="754" spans="5:5" ht="12.75" x14ac:dyDescent="0.2">
      <c r="E754" s="3"/>
    </row>
    <row r="755" spans="5:5" ht="12.75" x14ac:dyDescent="0.2">
      <c r="E755" s="3"/>
    </row>
    <row r="756" spans="5:5" ht="12.75" x14ac:dyDescent="0.2">
      <c r="E756" s="3"/>
    </row>
    <row r="757" spans="5:5" ht="12.75" x14ac:dyDescent="0.2">
      <c r="E757" s="3"/>
    </row>
    <row r="758" spans="5:5" ht="12.75" x14ac:dyDescent="0.2">
      <c r="E758" s="3"/>
    </row>
    <row r="759" spans="5:5" ht="12.75" x14ac:dyDescent="0.2">
      <c r="E759" s="3"/>
    </row>
    <row r="760" spans="5:5" ht="12.75" x14ac:dyDescent="0.2">
      <c r="E760" s="3"/>
    </row>
    <row r="761" spans="5:5" ht="12.75" x14ac:dyDescent="0.2">
      <c r="E761" s="3"/>
    </row>
    <row r="762" spans="5:5" ht="12.75" x14ac:dyDescent="0.2">
      <c r="E762" s="3"/>
    </row>
    <row r="763" spans="5:5" ht="12.75" x14ac:dyDescent="0.2">
      <c r="E763" s="3"/>
    </row>
    <row r="764" spans="5:5" ht="12.75" x14ac:dyDescent="0.2">
      <c r="E764" s="3"/>
    </row>
    <row r="765" spans="5:5" ht="12.75" x14ac:dyDescent="0.2">
      <c r="E765" s="3"/>
    </row>
    <row r="766" spans="5:5" ht="12.75" x14ac:dyDescent="0.2">
      <c r="E766" s="3"/>
    </row>
    <row r="767" spans="5:5" ht="12.75" x14ac:dyDescent="0.2">
      <c r="E767" s="3"/>
    </row>
    <row r="768" spans="5:5" ht="12.75" x14ac:dyDescent="0.2">
      <c r="E768" s="3"/>
    </row>
    <row r="769" spans="5:5" ht="12.75" x14ac:dyDescent="0.2">
      <c r="E769" s="3"/>
    </row>
    <row r="770" spans="5:5" ht="12.75" x14ac:dyDescent="0.2">
      <c r="E770" s="3"/>
    </row>
    <row r="771" spans="5:5" ht="12.75" x14ac:dyDescent="0.2">
      <c r="E771" s="3"/>
    </row>
    <row r="772" spans="5:5" ht="12.75" x14ac:dyDescent="0.2">
      <c r="E772" s="3"/>
    </row>
    <row r="773" spans="5:5" ht="12.75" x14ac:dyDescent="0.2">
      <c r="E773" s="3"/>
    </row>
    <row r="774" spans="5:5" ht="12.75" x14ac:dyDescent="0.2">
      <c r="E774" s="3"/>
    </row>
    <row r="775" spans="5:5" ht="12.75" x14ac:dyDescent="0.2">
      <c r="E775" s="3"/>
    </row>
    <row r="776" spans="5:5" ht="12.75" x14ac:dyDescent="0.2">
      <c r="E776" s="3"/>
    </row>
    <row r="777" spans="5:5" ht="12.75" x14ac:dyDescent="0.2">
      <c r="E777" s="3"/>
    </row>
    <row r="778" spans="5:5" ht="12.75" x14ac:dyDescent="0.2">
      <c r="E778" s="3"/>
    </row>
    <row r="779" spans="5:5" ht="12.75" x14ac:dyDescent="0.2">
      <c r="E779" s="3"/>
    </row>
    <row r="780" spans="5:5" ht="12.75" x14ac:dyDescent="0.2">
      <c r="E780" s="3"/>
    </row>
    <row r="781" spans="5:5" ht="12.75" x14ac:dyDescent="0.2">
      <c r="E781" s="3"/>
    </row>
    <row r="782" spans="5:5" ht="12.75" x14ac:dyDescent="0.2">
      <c r="E782" s="3"/>
    </row>
    <row r="783" spans="5:5" ht="12.75" x14ac:dyDescent="0.2">
      <c r="E783" s="3"/>
    </row>
    <row r="784" spans="5:5" ht="12.75" x14ac:dyDescent="0.2">
      <c r="E784" s="3"/>
    </row>
    <row r="785" spans="5:5" ht="12.75" x14ac:dyDescent="0.2">
      <c r="E785" s="3"/>
    </row>
    <row r="786" spans="5:5" ht="12.75" x14ac:dyDescent="0.2">
      <c r="E786" s="3"/>
    </row>
    <row r="787" spans="5:5" ht="12.75" x14ac:dyDescent="0.2">
      <c r="E787" s="3"/>
    </row>
    <row r="788" spans="5:5" ht="12.75" x14ac:dyDescent="0.2">
      <c r="E788" s="3"/>
    </row>
    <row r="789" spans="5:5" ht="12.75" x14ac:dyDescent="0.2">
      <c r="E789" s="3"/>
    </row>
    <row r="790" spans="5:5" ht="12.75" x14ac:dyDescent="0.2">
      <c r="E790" s="3"/>
    </row>
    <row r="791" spans="5:5" ht="12.75" x14ac:dyDescent="0.2">
      <c r="E791" s="3"/>
    </row>
    <row r="792" spans="5:5" ht="12.75" x14ac:dyDescent="0.2">
      <c r="E792" s="3"/>
    </row>
    <row r="793" spans="5:5" ht="12.75" x14ac:dyDescent="0.2">
      <c r="E793" s="3"/>
    </row>
    <row r="794" spans="5:5" ht="12.75" x14ac:dyDescent="0.2">
      <c r="E794" s="3"/>
    </row>
    <row r="795" spans="5:5" ht="12.75" x14ac:dyDescent="0.2">
      <c r="E795" s="3"/>
    </row>
    <row r="796" spans="5:5" ht="12.75" x14ac:dyDescent="0.2">
      <c r="E796" s="3"/>
    </row>
    <row r="797" spans="5:5" ht="12.75" x14ac:dyDescent="0.2">
      <c r="E797" s="3"/>
    </row>
    <row r="798" spans="5:5" ht="12.75" x14ac:dyDescent="0.2">
      <c r="E798" s="3"/>
    </row>
    <row r="799" spans="5:5" ht="12.75" x14ac:dyDescent="0.2">
      <c r="E799" s="3"/>
    </row>
    <row r="800" spans="5:5" ht="12.75" x14ac:dyDescent="0.2">
      <c r="E800" s="3"/>
    </row>
    <row r="801" spans="5:5" ht="12.75" x14ac:dyDescent="0.2">
      <c r="E801" s="3"/>
    </row>
    <row r="802" spans="5:5" ht="12.75" x14ac:dyDescent="0.2">
      <c r="E802" s="3"/>
    </row>
    <row r="803" spans="5:5" ht="12.75" x14ac:dyDescent="0.2">
      <c r="E803" s="3"/>
    </row>
    <row r="804" spans="5:5" ht="12.75" x14ac:dyDescent="0.2">
      <c r="E804" s="3"/>
    </row>
    <row r="805" spans="5:5" ht="12.75" x14ac:dyDescent="0.2">
      <c r="E805" s="3"/>
    </row>
    <row r="806" spans="5:5" ht="12.75" x14ac:dyDescent="0.2">
      <c r="E806" s="3"/>
    </row>
    <row r="807" spans="5:5" ht="12.75" x14ac:dyDescent="0.2">
      <c r="E807" s="3"/>
    </row>
    <row r="808" spans="5:5" ht="12.75" x14ac:dyDescent="0.2">
      <c r="E808" s="3"/>
    </row>
    <row r="809" spans="5:5" ht="12.75" x14ac:dyDescent="0.2">
      <c r="E809" s="3"/>
    </row>
    <row r="810" spans="5:5" ht="12.75" x14ac:dyDescent="0.2">
      <c r="E810" s="3"/>
    </row>
    <row r="811" spans="5:5" ht="12.75" x14ac:dyDescent="0.2">
      <c r="E811" s="3"/>
    </row>
    <row r="812" spans="5:5" ht="12.75" x14ac:dyDescent="0.2">
      <c r="E812" s="3"/>
    </row>
    <row r="813" spans="5:5" ht="12.75" x14ac:dyDescent="0.2">
      <c r="E813" s="3"/>
    </row>
    <row r="814" spans="5:5" ht="12.75" x14ac:dyDescent="0.2">
      <c r="E814" s="3"/>
    </row>
    <row r="815" spans="5:5" ht="12.75" x14ac:dyDescent="0.2">
      <c r="E815" s="3"/>
    </row>
    <row r="816" spans="5:5" ht="12.75" x14ac:dyDescent="0.2">
      <c r="E816" s="3"/>
    </row>
    <row r="817" spans="5:5" ht="12.75" x14ac:dyDescent="0.2">
      <c r="E817" s="3"/>
    </row>
    <row r="818" spans="5:5" ht="12.75" x14ac:dyDescent="0.2">
      <c r="E818" s="3"/>
    </row>
    <row r="819" spans="5:5" ht="12.75" x14ac:dyDescent="0.2">
      <c r="E819" s="3"/>
    </row>
    <row r="820" spans="5:5" ht="12.75" x14ac:dyDescent="0.2">
      <c r="E820" s="3"/>
    </row>
    <row r="821" spans="5:5" ht="12.75" x14ac:dyDescent="0.2">
      <c r="E821" s="3"/>
    </row>
    <row r="822" spans="5:5" ht="12.75" x14ac:dyDescent="0.2">
      <c r="E822" s="3"/>
    </row>
    <row r="823" spans="5:5" ht="12.75" x14ac:dyDescent="0.2">
      <c r="E823" s="3"/>
    </row>
    <row r="824" spans="5:5" ht="12.75" x14ac:dyDescent="0.2">
      <c r="E824" s="3"/>
    </row>
    <row r="825" spans="5:5" ht="12.75" x14ac:dyDescent="0.2">
      <c r="E825" s="3"/>
    </row>
    <row r="826" spans="5:5" ht="12.75" x14ac:dyDescent="0.2">
      <c r="E826" s="3"/>
    </row>
    <row r="827" spans="5:5" ht="12.75" x14ac:dyDescent="0.2">
      <c r="E827" s="3"/>
    </row>
    <row r="828" spans="5:5" ht="12.75" x14ac:dyDescent="0.2">
      <c r="E828" s="3"/>
    </row>
    <row r="829" spans="5:5" ht="12.75" x14ac:dyDescent="0.2">
      <c r="E829" s="3"/>
    </row>
    <row r="830" spans="5:5" ht="12.75" x14ac:dyDescent="0.2">
      <c r="E830" s="3"/>
    </row>
    <row r="831" spans="5:5" ht="12.75" x14ac:dyDescent="0.2">
      <c r="E831" s="3"/>
    </row>
    <row r="832" spans="5:5" ht="12.75" x14ac:dyDescent="0.2">
      <c r="E832" s="3"/>
    </row>
    <row r="833" spans="5:5" ht="12.75" x14ac:dyDescent="0.2">
      <c r="E833" s="3"/>
    </row>
    <row r="834" spans="5:5" ht="12.75" x14ac:dyDescent="0.2">
      <c r="E834" s="3"/>
    </row>
    <row r="835" spans="5:5" ht="12.75" x14ac:dyDescent="0.2">
      <c r="E835" s="3"/>
    </row>
    <row r="836" spans="5:5" ht="12.75" x14ac:dyDescent="0.2">
      <c r="E836" s="3"/>
    </row>
    <row r="837" spans="5:5" ht="12.75" x14ac:dyDescent="0.2">
      <c r="E837" s="3"/>
    </row>
    <row r="838" spans="5:5" ht="12.75" x14ac:dyDescent="0.2">
      <c r="E838" s="3"/>
    </row>
    <row r="839" spans="5:5" ht="12.75" x14ac:dyDescent="0.2">
      <c r="E839" s="3"/>
    </row>
    <row r="840" spans="5:5" ht="12.75" x14ac:dyDescent="0.2">
      <c r="E840" s="3"/>
    </row>
    <row r="841" spans="5:5" ht="12.75" x14ac:dyDescent="0.2">
      <c r="E841" s="3"/>
    </row>
    <row r="842" spans="5:5" ht="12.75" x14ac:dyDescent="0.2">
      <c r="E842" s="3"/>
    </row>
    <row r="843" spans="5:5" ht="12.75" x14ac:dyDescent="0.2">
      <c r="E843" s="3"/>
    </row>
    <row r="844" spans="5:5" ht="12.75" x14ac:dyDescent="0.2">
      <c r="E844" s="3"/>
    </row>
    <row r="845" spans="5:5" ht="12.75" x14ac:dyDescent="0.2">
      <c r="E845" s="3"/>
    </row>
    <row r="846" spans="5:5" ht="12.75" x14ac:dyDescent="0.2">
      <c r="E846" s="3"/>
    </row>
    <row r="847" spans="5:5" ht="12.75" x14ac:dyDescent="0.2">
      <c r="E847" s="3"/>
    </row>
    <row r="848" spans="5:5" ht="12.75" x14ac:dyDescent="0.2">
      <c r="E848" s="3"/>
    </row>
    <row r="849" spans="5:5" ht="12.75" x14ac:dyDescent="0.2">
      <c r="E849" s="3"/>
    </row>
    <row r="850" spans="5:5" ht="12.75" x14ac:dyDescent="0.2">
      <c r="E850" s="3"/>
    </row>
    <row r="851" spans="5:5" ht="12.75" x14ac:dyDescent="0.2">
      <c r="E851" s="3"/>
    </row>
    <row r="852" spans="5:5" ht="12.75" x14ac:dyDescent="0.2">
      <c r="E852" s="3"/>
    </row>
    <row r="853" spans="5:5" ht="12.75" x14ac:dyDescent="0.2">
      <c r="E853" s="3"/>
    </row>
    <row r="854" spans="5:5" ht="12.75" x14ac:dyDescent="0.2">
      <c r="E854" s="3"/>
    </row>
    <row r="855" spans="5:5" ht="12.75" x14ac:dyDescent="0.2">
      <c r="E855" s="3"/>
    </row>
    <row r="856" spans="5:5" ht="12.75" x14ac:dyDescent="0.2">
      <c r="E856" s="3"/>
    </row>
    <row r="857" spans="5:5" ht="12.75" x14ac:dyDescent="0.2">
      <c r="E857" s="3"/>
    </row>
    <row r="858" spans="5:5" ht="12.75" x14ac:dyDescent="0.2">
      <c r="E858" s="3"/>
    </row>
    <row r="859" spans="5:5" ht="12.75" x14ac:dyDescent="0.2">
      <c r="E859" s="3"/>
    </row>
    <row r="860" spans="5:5" ht="12.75" x14ac:dyDescent="0.2">
      <c r="E860" s="3"/>
    </row>
    <row r="861" spans="5:5" ht="12.75" x14ac:dyDescent="0.2">
      <c r="E861" s="3"/>
    </row>
    <row r="862" spans="5:5" ht="12.75" x14ac:dyDescent="0.2">
      <c r="E862" s="3"/>
    </row>
    <row r="863" spans="5:5" ht="12.75" x14ac:dyDescent="0.2">
      <c r="E863" s="3"/>
    </row>
    <row r="864" spans="5:5" ht="12.75" x14ac:dyDescent="0.2">
      <c r="E864" s="3"/>
    </row>
    <row r="865" spans="5:5" ht="12.75" x14ac:dyDescent="0.2">
      <c r="E865" s="3"/>
    </row>
    <row r="866" spans="5:5" ht="12.75" x14ac:dyDescent="0.2">
      <c r="E866" s="3"/>
    </row>
    <row r="867" spans="5:5" ht="12.75" x14ac:dyDescent="0.2">
      <c r="E867" s="3"/>
    </row>
    <row r="868" spans="5:5" ht="12.75" x14ac:dyDescent="0.2">
      <c r="E868" s="3"/>
    </row>
    <row r="869" spans="5:5" ht="12.75" x14ac:dyDescent="0.2">
      <c r="E869" s="3"/>
    </row>
    <row r="870" spans="5:5" ht="12.75" x14ac:dyDescent="0.2">
      <c r="E870" s="3"/>
    </row>
    <row r="871" spans="5:5" ht="12.75" x14ac:dyDescent="0.2">
      <c r="E871" s="3"/>
    </row>
    <row r="872" spans="5:5" ht="12.75" x14ac:dyDescent="0.2">
      <c r="E872" s="3"/>
    </row>
    <row r="873" spans="5:5" ht="12.75" x14ac:dyDescent="0.2">
      <c r="E873" s="3"/>
    </row>
    <row r="874" spans="5:5" ht="12.75" x14ac:dyDescent="0.2">
      <c r="E874" s="3"/>
    </row>
    <row r="875" spans="5:5" ht="12.75" x14ac:dyDescent="0.2">
      <c r="E875" s="3"/>
    </row>
    <row r="876" spans="5:5" ht="12.75" x14ac:dyDescent="0.2">
      <c r="E876" s="3"/>
    </row>
    <row r="877" spans="5:5" ht="12.75" x14ac:dyDescent="0.2">
      <c r="E877" s="3"/>
    </row>
    <row r="878" spans="5:5" ht="12.75" x14ac:dyDescent="0.2">
      <c r="E878" s="3"/>
    </row>
    <row r="879" spans="5:5" ht="12.75" x14ac:dyDescent="0.2">
      <c r="E879" s="3"/>
    </row>
    <row r="880" spans="5:5" ht="12.75" x14ac:dyDescent="0.2">
      <c r="E880" s="3"/>
    </row>
    <row r="881" spans="5:5" ht="12.75" x14ac:dyDescent="0.2">
      <c r="E881" s="3"/>
    </row>
    <row r="882" spans="5:5" ht="12.75" x14ac:dyDescent="0.2">
      <c r="E882" s="3"/>
    </row>
    <row r="883" spans="5:5" ht="12.75" x14ac:dyDescent="0.2">
      <c r="E883" s="3"/>
    </row>
    <row r="884" spans="5:5" ht="12.75" x14ac:dyDescent="0.2">
      <c r="E884" s="3"/>
    </row>
    <row r="885" spans="5:5" ht="12.75" x14ac:dyDescent="0.2">
      <c r="E885" s="3"/>
    </row>
    <row r="886" spans="5:5" ht="12.75" x14ac:dyDescent="0.2">
      <c r="E886" s="3"/>
    </row>
    <row r="887" spans="5:5" ht="12.75" x14ac:dyDescent="0.2">
      <c r="E887" s="3"/>
    </row>
    <row r="888" spans="5:5" ht="12.75" x14ac:dyDescent="0.2">
      <c r="E888" s="3"/>
    </row>
    <row r="889" spans="5:5" ht="12.75" x14ac:dyDescent="0.2">
      <c r="E889" s="3"/>
    </row>
    <row r="890" spans="5:5" ht="12.75" x14ac:dyDescent="0.2">
      <c r="E890" s="3"/>
    </row>
    <row r="891" spans="5:5" ht="12.75" x14ac:dyDescent="0.2">
      <c r="E891" s="3"/>
    </row>
    <row r="892" spans="5:5" ht="12.75" x14ac:dyDescent="0.2">
      <c r="E892" s="3"/>
    </row>
    <row r="893" spans="5:5" ht="12.75" x14ac:dyDescent="0.2">
      <c r="E893" s="3"/>
    </row>
    <row r="894" spans="5:5" ht="12.75" x14ac:dyDescent="0.2">
      <c r="E894" s="3"/>
    </row>
    <row r="895" spans="5:5" ht="12.75" x14ac:dyDescent="0.2">
      <c r="E895" s="3"/>
    </row>
    <row r="896" spans="5:5" ht="12.75" x14ac:dyDescent="0.2">
      <c r="E896" s="3"/>
    </row>
    <row r="897" spans="5:5" ht="12.75" x14ac:dyDescent="0.2">
      <c r="E897" s="3"/>
    </row>
    <row r="898" spans="5:5" ht="12.75" x14ac:dyDescent="0.2">
      <c r="E898" s="3"/>
    </row>
    <row r="899" spans="5:5" ht="12.75" x14ac:dyDescent="0.2">
      <c r="E899" s="3"/>
    </row>
    <row r="900" spans="5:5" ht="12.75" x14ac:dyDescent="0.2">
      <c r="E900" s="3"/>
    </row>
    <row r="901" spans="5:5" ht="12.75" x14ac:dyDescent="0.2">
      <c r="E901" s="3"/>
    </row>
    <row r="902" spans="5:5" ht="12.75" x14ac:dyDescent="0.2">
      <c r="E902" s="3"/>
    </row>
    <row r="903" spans="5:5" ht="12.75" x14ac:dyDescent="0.2">
      <c r="E903" s="3"/>
    </row>
    <row r="904" spans="5:5" ht="12.75" x14ac:dyDescent="0.2">
      <c r="E904" s="3"/>
    </row>
    <row r="905" spans="5:5" ht="12.75" x14ac:dyDescent="0.2">
      <c r="E905" s="3"/>
    </row>
    <row r="906" spans="5:5" ht="12.75" x14ac:dyDescent="0.2">
      <c r="E906" s="3"/>
    </row>
    <row r="907" spans="5:5" ht="12.75" x14ac:dyDescent="0.2">
      <c r="E907" s="3"/>
    </row>
    <row r="908" spans="5:5" ht="12.75" x14ac:dyDescent="0.2">
      <c r="E908" s="3"/>
    </row>
    <row r="909" spans="5:5" ht="12.75" x14ac:dyDescent="0.2">
      <c r="E909" s="3"/>
    </row>
    <row r="910" spans="5:5" ht="12.75" x14ac:dyDescent="0.2">
      <c r="E910" s="3"/>
    </row>
    <row r="911" spans="5:5" ht="12.75" x14ac:dyDescent="0.2">
      <c r="E911" s="3"/>
    </row>
    <row r="912" spans="5:5" ht="12.75" x14ac:dyDescent="0.2">
      <c r="E912" s="3"/>
    </row>
    <row r="913" spans="5:5" ht="12.75" x14ac:dyDescent="0.2">
      <c r="E913" s="3"/>
    </row>
    <row r="914" spans="5:5" ht="12.75" x14ac:dyDescent="0.2">
      <c r="E914" s="3"/>
    </row>
    <row r="915" spans="5:5" ht="12.75" x14ac:dyDescent="0.2">
      <c r="E915" s="3"/>
    </row>
    <row r="916" spans="5:5" ht="12.75" x14ac:dyDescent="0.2">
      <c r="E916" s="3"/>
    </row>
    <row r="917" spans="5:5" ht="12.75" x14ac:dyDescent="0.2">
      <c r="E917" s="3"/>
    </row>
    <row r="918" spans="5:5" ht="12.75" x14ac:dyDescent="0.2">
      <c r="E918" s="3"/>
    </row>
    <row r="919" spans="5:5" ht="12.75" x14ac:dyDescent="0.2">
      <c r="E919" s="3"/>
    </row>
    <row r="920" spans="5:5" ht="12.75" x14ac:dyDescent="0.2">
      <c r="E920" s="3"/>
    </row>
    <row r="921" spans="5:5" ht="12.75" x14ac:dyDescent="0.2">
      <c r="E921" s="3"/>
    </row>
    <row r="922" spans="5:5" ht="12.75" x14ac:dyDescent="0.2">
      <c r="E922" s="3"/>
    </row>
    <row r="923" spans="5:5" ht="12.75" x14ac:dyDescent="0.2">
      <c r="E923" s="3"/>
    </row>
    <row r="924" spans="5:5" ht="12.75" x14ac:dyDescent="0.2">
      <c r="E924" s="3"/>
    </row>
    <row r="925" spans="5:5" ht="12.75" x14ac:dyDescent="0.2">
      <c r="E925" s="3"/>
    </row>
    <row r="926" spans="5:5" ht="12.75" x14ac:dyDescent="0.2">
      <c r="E926" s="3"/>
    </row>
    <row r="927" spans="5:5" ht="12.75" x14ac:dyDescent="0.2">
      <c r="E927" s="3"/>
    </row>
    <row r="928" spans="5:5" ht="12.75" x14ac:dyDescent="0.2">
      <c r="E928" s="3"/>
    </row>
    <row r="929" spans="5:5" ht="12.75" x14ac:dyDescent="0.2">
      <c r="E929" s="3"/>
    </row>
    <row r="930" spans="5:5" ht="12.75" x14ac:dyDescent="0.2">
      <c r="E930" s="3"/>
    </row>
    <row r="931" spans="5:5" ht="12.75" x14ac:dyDescent="0.2">
      <c r="E931" s="3"/>
    </row>
    <row r="932" spans="5:5" ht="12.75" x14ac:dyDescent="0.2">
      <c r="E932" s="3"/>
    </row>
    <row r="933" spans="5:5" ht="12.75" x14ac:dyDescent="0.2">
      <c r="E933" s="3"/>
    </row>
    <row r="934" spans="5:5" ht="12.75" x14ac:dyDescent="0.2">
      <c r="E934" s="3"/>
    </row>
    <row r="935" spans="5:5" ht="12.75" x14ac:dyDescent="0.2">
      <c r="E935" s="3"/>
    </row>
    <row r="936" spans="5:5" ht="12.75" x14ac:dyDescent="0.2">
      <c r="E936" s="3"/>
    </row>
    <row r="937" spans="5:5" ht="12.75" x14ac:dyDescent="0.2">
      <c r="E937" s="3"/>
    </row>
    <row r="938" spans="5:5" ht="12.75" x14ac:dyDescent="0.2">
      <c r="E938" s="3"/>
    </row>
    <row r="939" spans="5:5" ht="12.75" x14ac:dyDescent="0.2">
      <c r="E939" s="3"/>
    </row>
    <row r="940" spans="5:5" ht="12.75" x14ac:dyDescent="0.2">
      <c r="E940" s="3"/>
    </row>
    <row r="941" spans="5:5" ht="12.75" x14ac:dyDescent="0.2">
      <c r="E941" s="3"/>
    </row>
    <row r="942" spans="5:5" ht="12.75" x14ac:dyDescent="0.2">
      <c r="E942" s="3"/>
    </row>
    <row r="943" spans="5:5" ht="12.75" x14ac:dyDescent="0.2">
      <c r="E943" s="3"/>
    </row>
    <row r="944" spans="5:5" ht="12.75" x14ac:dyDescent="0.2">
      <c r="E944" s="3"/>
    </row>
    <row r="945" spans="5:5" ht="12.75" x14ac:dyDescent="0.2">
      <c r="E945" s="3"/>
    </row>
    <row r="946" spans="5:5" ht="12.75" x14ac:dyDescent="0.2">
      <c r="E946" s="3"/>
    </row>
    <row r="947" spans="5:5" ht="12.75" x14ac:dyDescent="0.2">
      <c r="E947" s="3"/>
    </row>
    <row r="948" spans="5:5" ht="12.75" x14ac:dyDescent="0.2">
      <c r="E948" s="3"/>
    </row>
    <row r="949" spans="5:5" ht="12.75" x14ac:dyDescent="0.2">
      <c r="E949" s="3"/>
    </row>
    <row r="950" spans="5:5" ht="12.75" x14ac:dyDescent="0.2">
      <c r="E950" s="3"/>
    </row>
    <row r="951" spans="5:5" ht="12.75" x14ac:dyDescent="0.2">
      <c r="E951" s="3"/>
    </row>
    <row r="952" spans="5:5" ht="12.75" x14ac:dyDescent="0.2">
      <c r="E952" s="3"/>
    </row>
    <row r="953" spans="5:5" ht="12.75" x14ac:dyDescent="0.2">
      <c r="E953" s="3"/>
    </row>
    <row r="954" spans="5:5" ht="12.75" x14ac:dyDescent="0.2">
      <c r="E954" s="3"/>
    </row>
    <row r="955" spans="5:5" ht="12.75" x14ac:dyDescent="0.2">
      <c r="E955" s="3"/>
    </row>
    <row r="956" spans="5:5" ht="12.75" x14ac:dyDescent="0.2">
      <c r="E956" s="3"/>
    </row>
    <row r="957" spans="5:5" ht="12.75" x14ac:dyDescent="0.2">
      <c r="E957" s="3"/>
    </row>
    <row r="958" spans="5:5" ht="12.75" x14ac:dyDescent="0.2">
      <c r="E958" s="3"/>
    </row>
    <row r="959" spans="5:5" ht="12.75" x14ac:dyDescent="0.2">
      <c r="E959" s="3"/>
    </row>
    <row r="960" spans="5:5" ht="12.75" x14ac:dyDescent="0.2">
      <c r="E960" s="3"/>
    </row>
    <row r="961" spans="5:5" ht="12.75" x14ac:dyDescent="0.2">
      <c r="E961" s="3"/>
    </row>
    <row r="962" spans="5:5" ht="12.75" x14ac:dyDescent="0.2">
      <c r="E962" s="3"/>
    </row>
    <row r="963" spans="5:5" ht="12.75" x14ac:dyDescent="0.2">
      <c r="E963" s="3"/>
    </row>
    <row r="964" spans="5:5" ht="12.75" x14ac:dyDescent="0.2">
      <c r="E964" s="3"/>
    </row>
    <row r="965" spans="5:5" ht="12.75" x14ac:dyDescent="0.2">
      <c r="E965" s="3"/>
    </row>
    <row r="966" spans="5:5" ht="12.75" x14ac:dyDescent="0.2">
      <c r="E966" s="3"/>
    </row>
    <row r="967" spans="5:5" ht="12.75" x14ac:dyDescent="0.2">
      <c r="E967" s="3"/>
    </row>
    <row r="968" spans="5:5" ht="12.75" x14ac:dyDescent="0.2">
      <c r="E968" s="3"/>
    </row>
    <row r="969" spans="5:5" ht="12.75" x14ac:dyDescent="0.2">
      <c r="E969" s="3"/>
    </row>
    <row r="970" spans="5:5" ht="12.75" x14ac:dyDescent="0.2">
      <c r="E970" s="3"/>
    </row>
    <row r="971" spans="5:5" ht="12.75" x14ac:dyDescent="0.2">
      <c r="E971" s="3"/>
    </row>
    <row r="972" spans="5:5" ht="12.75" x14ac:dyDescent="0.2">
      <c r="E972" s="3"/>
    </row>
    <row r="973" spans="5:5" ht="12.75" x14ac:dyDescent="0.2">
      <c r="E973" s="3"/>
    </row>
    <row r="974" spans="5:5" ht="12.75" x14ac:dyDescent="0.2">
      <c r="E974" s="3"/>
    </row>
    <row r="975" spans="5:5" ht="12.75" x14ac:dyDescent="0.2">
      <c r="E975" s="3"/>
    </row>
    <row r="976" spans="5:5" ht="12.75" x14ac:dyDescent="0.2">
      <c r="E976" s="3"/>
    </row>
    <row r="977" spans="5:5" ht="12.75" x14ac:dyDescent="0.2">
      <c r="E977" s="3"/>
    </row>
    <row r="978" spans="5:5" ht="12.75" x14ac:dyDescent="0.2">
      <c r="E978" s="3"/>
    </row>
    <row r="979" spans="5:5" ht="12.75" x14ac:dyDescent="0.2">
      <c r="E979" s="3"/>
    </row>
    <row r="980" spans="5:5" ht="12.75" x14ac:dyDescent="0.2">
      <c r="E980" s="3"/>
    </row>
    <row r="981" spans="5:5" ht="12.75" x14ac:dyDescent="0.2">
      <c r="E981" s="3"/>
    </row>
    <row r="982" spans="5:5" ht="12.75" x14ac:dyDescent="0.2">
      <c r="E982" s="3"/>
    </row>
    <row r="983" spans="5:5" ht="12.75" x14ac:dyDescent="0.2">
      <c r="E983" s="3"/>
    </row>
    <row r="984" spans="5:5" ht="12.75" x14ac:dyDescent="0.2">
      <c r="E984" s="3"/>
    </row>
    <row r="985" spans="5:5" ht="12.75" x14ac:dyDescent="0.2">
      <c r="E985" s="3"/>
    </row>
    <row r="986" spans="5:5" ht="12.75" x14ac:dyDescent="0.2">
      <c r="E986" s="3"/>
    </row>
    <row r="987" spans="5:5" ht="12.75" x14ac:dyDescent="0.2">
      <c r="E987" s="3"/>
    </row>
    <row r="988" spans="5:5" ht="12.75" x14ac:dyDescent="0.2">
      <c r="E988" s="3"/>
    </row>
    <row r="989" spans="5:5" ht="12.75" x14ac:dyDescent="0.2">
      <c r="E989" s="3"/>
    </row>
    <row r="990" spans="5:5" ht="12.75" x14ac:dyDescent="0.2">
      <c r="E990" s="3"/>
    </row>
    <row r="991" spans="5:5" ht="12.75" x14ac:dyDescent="0.2">
      <c r="E991" s="3"/>
    </row>
    <row r="992" spans="5:5" ht="12.75" x14ac:dyDescent="0.2">
      <c r="E992" s="3"/>
    </row>
    <row r="993" spans="5:5" ht="12.75" x14ac:dyDescent="0.2">
      <c r="E993" s="3"/>
    </row>
    <row r="994" spans="5:5" ht="12.75" x14ac:dyDescent="0.2">
      <c r="E994" s="3"/>
    </row>
    <row r="995" spans="5:5" ht="12.75" x14ac:dyDescent="0.2">
      <c r="E995" s="3"/>
    </row>
    <row r="996" spans="5:5" ht="12.75" x14ac:dyDescent="0.2">
      <c r="E996" s="3"/>
    </row>
    <row r="997" spans="5:5" ht="12.75" x14ac:dyDescent="0.2">
      <c r="E997" s="3"/>
    </row>
    <row r="998" spans="5:5" ht="12.75" x14ac:dyDescent="0.2">
      <c r="E998" s="3"/>
    </row>
    <row r="999" spans="5:5" ht="12.75" x14ac:dyDescent="0.2">
      <c r="E999" s="3"/>
    </row>
    <row r="1000" spans="5:5" ht="12.75" x14ac:dyDescent="0.2">
      <c r="E1000" s="3"/>
    </row>
    <row r="1001" spans="5:5" ht="12.75" x14ac:dyDescent="0.2">
      <c r="E1001" s="3"/>
    </row>
    <row r="1002" spans="5:5" ht="12.75" x14ac:dyDescent="0.2">
      <c r="E1002" s="3"/>
    </row>
    <row r="1003" spans="5:5" ht="12.75" x14ac:dyDescent="0.2">
      <c r="E1003" s="3"/>
    </row>
    <row r="1004" spans="5:5" ht="12.75" x14ac:dyDescent="0.2">
      <c r="E1004" s="3"/>
    </row>
    <row r="1005" spans="5:5" ht="12.75" x14ac:dyDescent="0.2">
      <c r="E1005" s="3"/>
    </row>
    <row r="1006" spans="5:5" ht="12.75" x14ac:dyDescent="0.2">
      <c r="E1006" s="3"/>
    </row>
    <row r="1007" spans="5:5" ht="12.75" x14ac:dyDescent="0.2">
      <c r="E1007" s="3"/>
    </row>
    <row r="1008" spans="5:5" ht="12.75" x14ac:dyDescent="0.2">
      <c r="E1008" s="3"/>
    </row>
    <row r="1009" spans="5:5" ht="12.75" x14ac:dyDescent="0.2">
      <c r="E1009" s="3"/>
    </row>
    <row r="1010" spans="5:5" ht="12.75" x14ac:dyDescent="0.2">
      <c r="E101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40C60-E463-4A0C-BB57-8EE26D8B42D4}">
  <sheetPr codeName="Sheet23"/>
  <dimension ref="A1:C5"/>
  <sheetViews>
    <sheetView workbookViewId="0">
      <selection activeCell="E13" sqref="E13"/>
    </sheetView>
  </sheetViews>
  <sheetFormatPr defaultColWidth="14.42578125" defaultRowHeight="15" x14ac:dyDescent="0.25"/>
  <sheetData>
    <row r="1" spans="1:3" x14ac:dyDescent="0.25">
      <c r="A1" s="12" t="s">
        <v>44</v>
      </c>
      <c r="B1" t="s">
        <v>177</v>
      </c>
      <c r="C1" t="s">
        <v>130</v>
      </c>
    </row>
    <row r="2" spans="1:3" x14ac:dyDescent="0.25">
      <c r="A2" s="12" t="s">
        <v>89</v>
      </c>
      <c r="B2" t="s">
        <v>88</v>
      </c>
      <c r="C2" t="s">
        <v>88</v>
      </c>
    </row>
    <row r="3" spans="1:3" x14ac:dyDescent="0.25">
      <c r="A3" s="12" t="s">
        <v>87</v>
      </c>
      <c r="B3">
        <v>1</v>
      </c>
      <c r="C3">
        <v>4</v>
      </c>
    </row>
    <row r="4" spans="1:3" x14ac:dyDescent="0.25">
      <c r="A4" s="12" t="s">
        <v>86</v>
      </c>
      <c r="B4">
        <v>10</v>
      </c>
      <c r="C4">
        <v>5</v>
      </c>
    </row>
    <row r="5" spans="1:3" x14ac:dyDescent="0.25">
      <c r="A5" s="12" t="s">
        <v>85</v>
      </c>
      <c r="B5">
        <v>6</v>
      </c>
      <c r="C5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ACFC-850E-4357-97A7-9338255479D9}">
  <sheetPr codeName="Sheet4">
    <outlinePr summaryBelow="0" summaryRight="0"/>
  </sheetPr>
  <dimension ref="A1:E5"/>
  <sheetViews>
    <sheetView workbookViewId="0">
      <selection activeCell="E29" sqref="E29"/>
    </sheetView>
  </sheetViews>
  <sheetFormatPr defaultColWidth="14.42578125" defaultRowHeight="15.75" customHeight="1" x14ac:dyDescent="0.2"/>
  <cols>
    <col min="1" max="16384" width="14.42578125" style="2"/>
  </cols>
  <sheetData>
    <row r="1" spans="1:5" x14ac:dyDescent="0.2">
      <c r="A1" s="12" t="s">
        <v>44</v>
      </c>
      <c r="B1" s="12" t="s">
        <v>91</v>
      </c>
      <c r="C1" s="12" t="s">
        <v>92</v>
      </c>
      <c r="D1" s="12" t="s">
        <v>91</v>
      </c>
      <c r="E1" s="12" t="s">
        <v>90</v>
      </c>
    </row>
    <row r="2" spans="1:5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</row>
    <row r="3" spans="1:5" x14ac:dyDescent="0.2">
      <c r="A3" s="12" t="s">
        <v>87</v>
      </c>
      <c r="B3" s="12">
        <v>1</v>
      </c>
      <c r="C3" s="12">
        <v>6</v>
      </c>
      <c r="D3" s="12">
        <v>5</v>
      </c>
      <c r="E3" s="12">
        <v>0</v>
      </c>
    </row>
    <row r="4" spans="1:5" x14ac:dyDescent="0.2">
      <c r="A4" s="12" t="s">
        <v>86</v>
      </c>
      <c r="B4" s="12">
        <v>2</v>
      </c>
      <c r="C4" s="12">
        <v>6</v>
      </c>
      <c r="D4" s="12">
        <v>3</v>
      </c>
      <c r="E4" s="12">
        <v>4</v>
      </c>
    </row>
    <row r="5" spans="1:5" x14ac:dyDescent="0.2">
      <c r="A5" s="12" t="s">
        <v>85</v>
      </c>
      <c r="B5" s="12">
        <v>2</v>
      </c>
      <c r="C5" s="12">
        <v>5</v>
      </c>
      <c r="D5" s="12">
        <v>1</v>
      </c>
      <c r="E5" s="1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AC71E-F6A6-44E2-AE69-AB25B2BA765B}">
  <sheetPr codeName="Sheet24"/>
  <dimension ref="A1:C5"/>
  <sheetViews>
    <sheetView workbookViewId="0">
      <selection activeCell="C6" sqref="C6"/>
    </sheetView>
  </sheetViews>
  <sheetFormatPr defaultColWidth="14.42578125" defaultRowHeight="15" x14ac:dyDescent="0.25"/>
  <sheetData>
    <row r="1" spans="1:3" x14ac:dyDescent="0.25">
      <c r="A1" s="12" t="s">
        <v>44</v>
      </c>
      <c r="B1" t="s">
        <v>178</v>
      </c>
      <c r="C1" t="s">
        <v>169</v>
      </c>
    </row>
    <row r="2" spans="1:3" x14ac:dyDescent="0.25">
      <c r="A2" s="12" t="s">
        <v>89</v>
      </c>
      <c r="B2" t="s">
        <v>93</v>
      </c>
      <c r="C2" t="s">
        <v>93</v>
      </c>
    </row>
    <row r="3" spans="1:3" x14ac:dyDescent="0.25">
      <c r="A3" s="12" t="s">
        <v>87</v>
      </c>
      <c r="B3">
        <v>1</v>
      </c>
      <c r="C3">
        <v>1</v>
      </c>
    </row>
    <row r="4" spans="1:3" x14ac:dyDescent="0.25">
      <c r="A4" s="12" t="s">
        <v>86</v>
      </c>
      <c r="B4">
        <v>3</v>
      </c>
      <c r="C4">
        <v>4</v>
      </c>
    </row>
    <row r="5" spans="1:3" x14ac:dyDescent="0.25">
      <c r="A5" s="12" t="s">
        <v>85</v>
      </c>
      <c r="B5">
        <v>14</v>
      </c>
      <c r="C5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4EC1-6ECE-41BF-84F4-9C734BA504F9}">
  <sheetPr codeName="Sheet6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0BAC-A758-4CFD-8167-37EC8F318380}">
  <sheetPr codeName="Sheet5">
    <outlinePr summaryBelow="0" summaryRight="0"/>
  </sheetPr>
  <dimension ref="A1:P5"/>
  <sheetViews>
    <sheetView workbookViewId="0">
      <selection activeCell="O6" sqref="O6"/>
    </sheetView>
  </sheetViews>
  <sheetFormatPr defaultColWidth="14.42578125" defaultRowHeight="15.75" customHeight="1" x14ac:dyDescent="0.2"/>
  <cols>
    <col min="1" max="16384" width="14.42578125" style="2"/>
  </cols>
  <sheetData>
    <row r="1" spans="1:16" x14ac:dyDescent="0.2">
      <c r="A1" s="12" t="s">
        <v>44</v>
      </c>
      <c r="B1" s="12" t="s">
        <v>94</v>
      </c>
      <c r="C1" s="12" t="s">
        <v>95</v>
      </c>
      <c r="D1" s="12" t="s">
        <v>96</v>
      </c>
      <c r="E1" s="12" t="s">
        <v>96</v>
      </c>
      <c r="F1" s="12" t="s">
        <v>95</v>
      </c>
      <c r="G1" s="12" t="s">
        <v>94</v>
      </c>
      <c r="H1" s="2" t="s">
        <v>94</v>
      </c>
      <c r="I1" s="2" t="s">
        <v>95</v>
      </c>
      <c r="J1" s="2" t="s">
        <v>170</v>
      </c>
      <c r="K1" s="2" t="s">
        <v>95</v>
      </c>
      <c r="L1" s="2" t="s">
        <v>95</v>
      </c>
      <c r="M1" s="2" t="s">
        <v>94</v>
      </c>
      <c r="N1" s="2" t="s">
        <v>185</v>
      </c>
      <c r="O1" s="2" t="s">
        <v>95</v>
      </c>
      <c r="P1" s="2" t="s">
        <v>94</v>
      </c>
    </row>
    <row r="2" spans="1:16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  <c r="F2" s="12" t="s">
        <v>93</v>
      </c>
      <c r="G2" s="12" t="s">
        <v>93</v>
      </c>
      <c r="H2" s="2" t="s">
        <v>88</v>
      </c>
      <c r="I2" s="2" t="s">
        <v>88</v>
      </c>
      <c r="J2" s="2" t="s">
        <v>88</v>
      </c>
      <c r="K2" s="2" t="s">
        <v>88</v>
      </c>
      <c r="L2" s="2" t="s">
        <v>93</v>
      </c>
      <c r="M2" s="2" t="s">
        <v>93</v>
      </c>
      <c r="N2" s="2" t="s">
        <v>93</v>
      </c>
      <c r="O2" s="2" t="s">
        <v>88</v>
      </c>
      <c r="P2" s="2" t="s">
        <v>93</v>
      </c>
    </row>
    <row r="3" spans="1:16" x14ac:dyDescent="0.2">
      <c r="A3" s="12" t="s">
        <v>87</v>
      </c>
      <c r="B3" s="12">
        <v>6</v>
      </c>
      <c r="C3" s="12">
        <v>8</v>
      </c>
      <c r="D3" s="12">
        <v>2</v>
      </c>
      <c r="E3" s="12">
        <v>1</v>
      </c>
      <c r="F3" s="17">
        <v>4</v>
      </c>
      <c r="G3" s="12">
        <v>8</v>
      </c>
      <c r="H3" s="2">
        <v>5</v>
      </c>
      <c r="I3" s="2">
        <v>3</v>
      </c>
      <c r="J3" s="2">
        <v>2</v>
      </c>
      <c r="K3" s="2">
        <v>4</v>
      </c>
      <c r="L3" s="2">
        <v>5</v>
      </c>
      <c r="M3" s="2">
        <v>7</v>
      </c>
      <c r="N3" s="2">
        <v>7</v>
      </c>
      <c r="O3" s="2">
        <v>2</v>
      </c>
      <c r="P3" s="2">
        <v>4</v>
      </c>
    </row>
    <row r="4" spans="1:16" x14ac:dyDescent="0.2">
      <c r="A4" s="12" t="s">
        <v>86</v>
      </c>
      <c r="B4" s="12">
        <v>10</v>
      </c>
      <c r="C4" s="12">
        <v>7</v>
      </c>
      <c r="D4" s="12">
        <v>5</v>
      </c>
      <c r="E4" s="12">
        <v>9</v>
      </c>
      <c r="F4" s="12">
        <v>1</v>
      </c>
      <c r="G4" s="12">
        <v>4</v>
      </c>
      <c r="H4" s="2">
        <v>6</v>
      </c>
      <c r="I4" s="2">
        <v>5</v>
      </c>
      <c r="J4" s="2">
        <v>7</v>
      </c>
      <c r="K4" s="2">
        <v>3</v>
      </c>
      <c r="L4" s="2">
        <v>3</v>
      </c>
      <c r="M4" s="2">
        <v>5</v>
      </c>
      <c r="N4" s="2">
        <v>7</v>
      </c>
      <c r="O4" s="2">
        <v>10</v>
      </c>
      <c r="P4" s="2">
        <v>4</v>
      </c>
    </row>
    <row r="5" spans="1:16" x14ac:dyDescent="0.2">
      <c r="A5" s="12" t="s">
        <v>85</v>
      </c>
      <c r="B5" s="12">
        <v>4</v>
      </c>
      <c r="C5" s="12">
        <v>5</v>
      </c>
      <c r="D5" s="12">
        <v>7</v>
      </c>
      <c r="E5" s="12">
        <v>8</v>
      </c>
      <c r="F5" s="12">
        <v>8</v>
      </c>
      <c r="G5" s="12">
        <v>4</v>
      </c>
      <c r="H5" s="2">
        <v>1</v>
      </c>
      <c r="I5" s="2">
        <v>4</v>
      </c>
      <c r="J5" s="2">
        <v>6</v>
      </c>
      <c r="K5" s="2">
        <v>1</v>
      </c>
      <c r="L5" s="2">
        <v>9</v>
      </c>
      <c r="M5" s="2">
        <v>10</v>
      </c>
      <c r="N5" s="2">
        <v>10</v>
      </c>
      <c r="O5" s="2">
        <v>1</v>
      </c>
      <c r="P5" s="2">
        <v>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FB0D-BF0E-4F84-972D-4D2514F9C51F}">
  <sheetPr codeName="Sheet7">
    <outlinePr summaryBelow="0" summaryRight="0"/>
  </sheetPr>
  <dimension ref="A1:W10"/>
  <sheetViews>
    <sheetView topLeftCell="G1" workbookViewId="0">
      <selection activeCell="W6" sqref="W6"/>
    </sheetView>
  </sheetViews>
  <sheetFormatPr defaultColWidth="14.42578125" defaultRowHeight="15.75" customHeight="1" x14ac:dyDescent="0.2"/>
  <cols>
    <col min="1" max="16384" width="14.42578125" style="2"/>
  </cols>
  <sheetData>
    <row r="1" spans="1:23" x14ac:dyDescent="0.2">
      <c r="A1" s="12" t="s">
        <v>44</v>
      </c>
      <c r="B1" s="12" t="s">
        <v>105</v>
      </c>
      <c r="C1" s="12" t="s">
        <v>105</v>
      </c>
      <c r="D1" s="12" t="s">
        <v>104</v>
      </c>
      <c r="E1" s="12" t="s">
        <v>103</v>
      </c>
      <c r="F1" s="12" t="s">
        <v>102</v>
      </c>
      <c r="G1" s="12" t="s">
        <v>101</v>
      </c>
      <c r="H1" s="12" t="s">
        <v>100</v>
      </c>
      <c r="I1" s="12" t="s">
        <v>99</v>
      </c>
      <c r="J1" s="12" t="s">
        <v>98</v>
      </c>
      <c r="K1" s="12" t="s">
        <v>90</v>
      </c>
      <c r="L1" s="12" t="s">
        <v>97</v>
      </c>
      <c r="M1" s="2" t="s">
        <v>154</v>
      </c>
      <c r="N1" s="2" t="s">
        <v>103</v>
      </c>
      <c r="O1" s="2" t="s">
        <v>98</v>
      </c>
      <c r="P1" s="2" t="s">
        <v>154</v>
      </c>
      <c r="Q1" s="2" t="s">
        <v>105</v>
      </c>
      <c r="R1" s="2" t="s">
        <v>105</v>
      </c>
      <c r="S1" s="2" t="s">
        <v>97</v>
      </c>
      <c r="T1" s="2" t="s">
        <v>109</v>
      </c>
      <c r="U1" s="2" t="s">
        <v>148</v>
      </c>
      <c r="V1" s="2" t="s">
        <v>90</v>
      </c>
      <c r="W1" s="2" t="s">
        <v>139</v>
      </c>
    </row>
    <row r="2" spans="1:23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88</v>
      </c>
      <c r="F2" s="20" t="s">
        <v>88</v>
      </c>
      <c r="G2" s="20" t="s">
        <v>88</v>
      </c>
      <c r="H2" s="20" t="s">
        <v>88</v>
      </c>
      <c r="I2" s="20" t="s">
        <v>93</v>
      </c>
      <c r="J2" s="20" t="s">
        <v>93</v>
      </c>
      <c r="K2" s="21" t="s">
        <v>93</v>
      </c>
      <c r="L2" s="21" t="s">
        <v>93</v>
      </c>
      <c r="M2" s="20" t="s">
        <v>88</v>
      </c>
      <c r="N2" s="20" t="s">
        <v>88</v>
      </c>
      <c r="O2" s="20" t="s">
        <v>88</v>
      </c>
      <c r="P2" s="20" t="s">
        <v>88</v>
      </c>
      <c r="Q2" s="20" t="s">
        <v>93</v>
      </c>
      <c r="R2" s="20" t="s">
        <v>93</v>
      </c>
      <c r="S2" s="2" t="s">
        <v>93</v>
      </c>
      <c r="T2" s="2" t="s">
        <v>93</v>
      </c>
      <c r="U2" s="2" t="s">
        <v>88</v>
      </c>
      <c r="V2" s="2" t="s">
        <v>93</v>
      </c>
      <c r="W2" s="2" t="s">
        <v>88</v>
      </c>
    </row>
    <row r="3" spans="1:23" x14ac:dyDescent="0.2">
      <c r="A3" s="12" t="s">
        <v>87</v>
      </c>
      <c r="B3" s="18">
        <v>3</v>
      </c>
      <c r="C3" s="18">
        <v>6</v>
      </c>
      <c r="D3" s="18">
        <v>5</v>
      </c>
      <c r="E3" s="18">
        <v>2</v>
      </c>
      <c r="F3" s="18">
        <v>3</v>
      </c>
      <c r="G3" s="18">
        <v>2</v>
      </c>
      <c r="H3" s="18">
        <v>5</v>
      </c>
      <c r="I3" s="18">
        <v>9</v>
      </c>
      <c r="J3" s="18">
        <v>8</v>
      </c>
      <c r="K3" s="12">
        <v>5</v>
      </c>
      <c r="L3" s="19">
        <v>4</v>
      </c>
      <c r="M3" s="18">
        <v>5</v>
      </c>
      <c r="N3" s="18">
        <v>2</v>
      </c>
      <c r="O3" s="18">
        <v>2</v>
      </c>
      <c r="P3" s="18">
        <v>7</v>
      </c>
      <c r="Q3" s="18">
        <v>5</v>
      </c>
      <c r="R3" s="18">
        <v>11</v>
      </c>
      <c r="S3" s="2">
        <v>9</v>
      </c>
      <c r="T3" s="2">
        <v>5</v>
      </c>
      <c r="U3" s="2">
        <v>4</v>
      </c>
      <c r="V3" s="2">
        <v>13</v>
      </c>
      <c r="W3" s="2">
        <v>5</v>
      </c>
    </row>
    <row r="4" spans="1:23" x14ac:dyDescent="0.2">
      <c r="A4" s="12" t="s">
        <v>86</v>
      </c>
      <c r="B4" s="18">
        <v>2</v>
      </c>
      <c r="C4" s="18">
        <v>3</v>
      </c>
      <c r="D4" s="18">
        <v>8</v>
      </c>
      <c r="E4" s="18">
        <v>4</v>
      </c>
      <c r="F4" s="18">
        <v>7</v>
      </c>
      <c r="G4" s="18">
        <v>7</v>
      </c>
      <c r="H4" s="18">
        <v>8</v>
      </c>
      <c r="I4" s="18">
        <v>4</v>
      </c>
      <c r="J4" s="18">
        <v>4</v>
      </c>
      <c r="K4" s="12">
        <v>3</v>
      </c>
      <c r="L4" s="19">
        <v>4</v>
      </c>
      <c r="M4" s="18">
        <v>4</v>
      </c>
      <c r="N4" s="18">
        <v>6</v>
      </c>
      <c r="O4" s="18">
        <v>8</v>
      </c>
      <c r="P4" s="18">
        <v>5</v>
      </c>
      <c r="Q4" s="18">
        <v>5</v>
      </c>
      <c r="R4" s="18">
        <v>2</v>
      </c>
      <c r="S4" s="2">
        <v>3</v>
      </c>
      <c r="T4" s="2">
        <v>4</v>
      </c>
      <c r="U4" s="2">
        <v>4</v>
      </c>
      <c r="V4" s="2">
        <v>3</v>
      </c>
      <c r="W4" s="2">
        <v>6</v>
      </c>
    </row>
    <row r="5" spans="1:23" x14ac:dyDescent="0.2">
      <c r="A5" s="12" t="s">
        <v>85</v>
      </c>
      <c r="B5" s="18">
        <v>6</v>
      </c>
      <c r="C5" s="18">
        <v>6</v>
      </c>
      <c r="D5" s="18">
        <v>2</v>
      </c>
      <c r="E5" s="18">
        <v>0</v>
      </c>
      <c r="F5" s="18">
        <v>6</v>
      </c>
      <c r="G5" s="18">
        <v>5</v>
      </c>
      <c r="H5" s="18">
        <v>7</v>
      </c>
      <c r="I5" s="18">
        <v>11</v>
      </c>
      <c r="J5" s="18">
        <v>9</v>
      </c>
      <c r="K5" s="12">
        <v>7</v>
      </c>
      <c r="L5" s="19">
        <v>9</v>
      </c>
      <c r="M5" s="18">
        <v>3</v>
      </c>
      <c r="N5" s="18">
        <v>3</v>
      </c>
      <c r="O5" s="18">
        <v>3</v>
      </c>
      <c r="P5" s="18">
        <v>4</v>
      </c>
      <c r="Q5" s="18">
        <v>13</v>
      </c>
      <c r="R5" s="18">
        <v>6</v>
      </c>
      <c r="S5" s="2">
        <v>11</v>
      </c>
      <c r="T5" s="2">
        <v>13</v>
      </c>
      <c r="U5" s="2">
        <v>11</v>
      </c>
      <c r="V5" s="2">
        <v>4</v>
      </c>
      <c r="W5" s="2">
        <v>10</v>
      </c>
    </row>
    <row r="6" spans="1:23" x14ac:dyDescent="0.2">
      <c r="B6" s="19"/>
      <c r="C6" s="19"/>
      <c r="D6" s="19"/>
      <c r="E6" s="19"/>
      <c r="F6" s="19"/>
      <c r="G6" s="19"/>
      <c r="H6" s="19"/>
      <c r="I6" s="19"/>
      <c r="J6" s="19"/>
      <c r="K6" s="18"/>
      <c r="L6" s="18"/>
      <c r="M6" s="18"/>
      <c r="N6" s="18"/>
      <c r="O6" s="18"/>
      <c r="P6" s="18"/>
      <c r="Q6" s="18"/>
      <c r="R6" s="18"/>
    </row>
    <row r="7" spans="1:23" x14ac:dyDescent="0.2">
      <c r="B7" s="19"/>
      <c r="C7" s="19"/>
      <c r="D7" s="19"/>
      <c r="E7" s="19"/>
      <c r="F7" s="19"/>
      <c r="G7" s="19"/>
      <c r="H7" s="19"/>
      <c r="I7" s="19"/>
      <c r="J7" s="19"/>
      <c r="K7" s="18"/>
      <c r="L7" s="18"/>
      <c r="M7" s="18"/>
      <c r="N7" s="18"/>
      <c r="O7" s="18"/>
      <c r="P7" s="18"/>
      <c r="Q7" s="18"/>
      <c r="R7" s="18"/>
    </row>
    <row r="8" spans="1:23" x14ac:dyDescent="0.2">
      <c r="B8" s="19"/>
      <c r="C8" s="19"/>
      <c r="D8" s="19"/>
      <c r="E8" s="19"/>
      <c r="F8" s="19"/>
      <c r="G8" s="19"/>
      <c r="H8" s="19"/>
      <c r="I8" s="19"/>
      <c r="J8" s="19"/>
      <c r="K8" s="18"/>
      <c r="L8" s="18"/>
      <c r="M8" s="18"/>
      <c r="N8" s="18"/>
      <c r="O8" s="18"/>
      <c r="P8" s="18"/>
      <c r="Q8" s="18"/>
      <c r="R8" s="18"/>
    </row>
    <row r="9" spans="1:23" x14ac:dyDescent="0.2">
      <c r="B9" s="19"/>
      <c r="C9" s="19"/>
      <c r="D9" s="19"/>
      <c r="E9" s="19"/>
      <c r="F9" s="19"/>
      <c r="G9" s="19"/>
      <c r="H9" s="19"/>
      <c r="I9" s="19"/>
      <c r="J9" s="19"/>
      <c r="K9" s="18"/>
      <c r="L9" s="18"/>
      <c r="M9" s="18"/>
      <c r="N9" s="18"/>
      <c r="O9" s="18"/>
      <c r="P9" s="18"/>
      <c r="Q9" s="18"/>
      <c r="R9" s="18"/>
    </row>
    <row r="10" spans="1:23" x14ac:dyDescent="0.2">
      <c r="B10" s="19"/>
      <c r="C10" s="19"/>
      <c r="D10" s="19"/>
      <c r="E10" s="19"/>
      <c r="F10" s="19"/>
      <c r="G10" s="19"/>
      <c r="H10" s="19"/>
      <c r="I10" s="19"/>
      <c r="J10" s="19"/>
      <c r="K10" s="18"/>
      <c r="L10" s="18"/>
      <c r="M10" s="18"/>
      <c r="N10" s="18"/>
      <c r="O10" s="18"/>
      <c r="P10" s="18"/>
      <c r="Q10" s="18"/>
      <c r="R10" s="1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F6D5-EB26-4C1B-A7E1-CC14BE6A2CB5}">
  <sheetPr codeName="Sheet8">
    <outlinePr summaryBelow="0" summaryRight="0"/>
  </sheetPr>
  <dimension ref="A1:R10"/>
  <sheetViews>
    <sheetView workbookViewId="0">
      <selection activeCell="L6" sqref="L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108</v>
      </c>
      <c r="C1" s="12" t="s">
        <v>107</v>
      </c>
      <c r="D1" s="12" t="s">
        <v>105</v>
      </c>
      <c r="E1" s="12" t="s">
        <v>106</v>
      </c>
      <c r="F1" s="12" t="s">
        <v>105</v>
      </c>
      <c r="G1" s="2" t="s">
        <v>108</v>
      </c>
      <c r="H1" s="2" t="s">
        <v>171</v>
      </c>
      <c r="I1" s="2" t="s">
        <v>108</v>
      </c>
      <c r="J1" s="2" t="s">
        <v>179</v>
      </c>
      <c r="K1" s="2" t="s">
        <v>108</v>
      </c>
      <c r="L1" s="2" t="s">
        <v>171</v>
      </c>
      <c r="M1" s="2" t="s">
        <v>108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93</v>
      </c>
      <c r="F2" s="20" t="s">
        <v>93</v>
      </c>
      <c r="G2" s="20" t="s">
        <v>88</v>
      </c>
      <c r="H2" s="20" t="s">
        <v>88</v>
      </c>
      <c r="I2" s="20" t="s">
        <v>88</v>
      </c>
      <c r="J2" s="20" t="s">
        <v>88</v>
      </c>
      <c r="K2" s="20" t="s">
        <v>93</v>
      </c>
      <c r="L2" s="20" t="s">
        <v>88</v>
      </c>
      <c r="M2" s="20" t="s">
        <v>93</v>
      </c>
      <c r="N2" s="20"/>
      <c r="O2" s="20"/>
      <c r="P2" s="20"/>
      <c r="Q2" s="20"/>
      <c r="R2" s="20"/>
    </row>
    <row r="3" spans="1:18" x14ac:dyDescent="0.2">
      <c r="A3" s="12" t="s">
        <v>87</v>
      </c>
      <c r="B3" s="18">
        <v>10</v>
      </c>
      <c r="C3" s="18">
        <v>6</v>
      </c>
      <c r="D3" s="18">
        <v>9</v>
      </c>
      <c r="E3" s="18">
        <v>19</v>
      </c>
      <c r="F3" s="18">
        <v>9</v>
      </c>
      <c r="G3" s="18">
        <v>8</v>
      </c>
      <c r="H3" s="18">
        <v>4</v>
      </c>
      <c r="I3" s="18">
        <v>13</v>
      </c>
      <c r="J3" s="18">
        <v>6</v>
      </c>
      <c r="K3" s="18">
        <v>13</v>
      </c>
      <c r="L3" s="18">
        <v>9</v>
      </c>
      <c r="M3" s="18">
        <v>15</v>
      </c>
      <c r="N3" s="18"/>
    </row>
    <row r="4" spans="1:18" x14ac:dyDescent="0.2">
      <c r="A4" s="12" t="s">
        <v>86</v>
      </c>
      <c r="B4" s="18">
        <v>2</v>
      </c>
      <c r="C4" s="18">
        <v>1</v>
      </c>
      <c r="D4" s="18">
        <v>8</v>
      </c>
      <c r="E4" s="18">
        <v>3</v>
      </c>
      <c r="F4" s="18">
        <v>3</v>
      </c>
      <c r="G4" s="18">
        <v>7</v>
      </c>
      <c r="H4" s="18">
        <v>6</v>
      </c>
      <c r="I4" s="18">
        <v>4</v>
      </c>
      <c r="J4" s="18">
        <v>6</v>
      </c>
      <c r="K4" s="18">
        <v>6</v>
      </c>
      <c r="L4" s="18">
        <v>8</v>
      </c>
      <c r="M4" s="18">
        <v>3</v>
      </c>
      <c r="N4" s="18"/>
    </row>
    <row r="5" spans="1:18" x14ac:dyDescent="0.2">
      <c r="A5" s="12" t="s">
        <v>85</v>
      </c>
      <c r="B5" s="18">
        <v>8</v>
      </c>
      <c r="C5" s="18">
        <v>3</v>
      </c>
      <c r="D5" s="18">
        <v>7</v>
      </c>
      <c r="E5" s="18">
        <v>7</v>
      </c>
      <c r="F5" s="18">
        <v>11</v>
      </c>
      <c r="G5" s="18">
        <v>4</v>
      </c>
      <c r="H5" s="18">
        <v>3</v>
      </c>
      <c r="I5" s="18">
        <v>1</v>
      </c>
      <c r="J5" s="18">
        <v>7</v>
      </c>
      <c r="K5" s="18">
        <v>8</v>
      </c>
      <c r="L5" s="18">
        <v>5</v>
      </c>
      <c r="M5" s="18">
        <v>1</v>
      </c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CC59-DC19-4315-9A03-668E616020CA}">
  <sheetPr codeName="Sheet27">
    <outlinePr summaryBelow="0" summaryRight="0"/>
  </sheetPr>
  <dimension ref="A1:R10"/>
  <sheetViews>
    <sheetView workbookViewId="0">
      <selection activeCell="M5" sqref="B1:M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1B7D-E13D-41E8-83CC-0B8343917D5A}">
  <sheetPr codeName="Sheet9">
    <outlinePr summaryBelow="0" summaryRight="0"/>
  </sheetPr>
  <dimension ref="A1:C5"/>
  <sheetViews>
    <sheetView workbookViewId="0">
      <selection activeCell="C5" sqref="A1:C5"/>
    </sheetView>
  </sheetViews>
  <sheetFormatPr defaultColWidth="14.42578125" defaultRowHeight="15.75" customHeight="1" x14ac:dyDescent="0.2"/>
  <cols>
    <col min="1" max="16384" width="14.42578125" style="2"/>
  </cols>
  <sheetData>
    <row r="1" spans="1:3" x14ac:dyDescent="0.2">
      <c r="A1" s="12" t="s">
        <v>44</v>
      </c>
      <c r="B1" s="12" t="s">
        <v>91</v>
      </c>
      <c r="C1" s="12" t="s">
        <v>109</v>
      </c>
    </row>
    <row r="2" spans="1:3" x14ac:dyDescent="0.2">
      <c r="A2" s="12" t="s">
        <v>89</v>
      </c>
      <c r="B2" s="12" t="s">
        <v>88</v>
      </c>
      <c r="C2" s="12" t="s">
        <v>88</v>
      </c>
    </row>
    <row r="3" spans="1:3" x14ac:dyDescent="0.2">
      <c r="A3" s="12" t="s">
        <v>87</v>
      </c>
      <c r="B3" s="12">
        <v>1</v>
      </c>
      <c r="C3" s="12">
        <v>3</v>
      </c>
    </row>
    <row r="4" spans="1:3" x14ac:dyDescent="0.2">
      <c r="A4" s="12" t="s">
        <v>86</v>
      </c>
      <c r="B4" s="12">
        <v>6</v>
      </c>
      <c r="C4" s="12">
        <v>7</v>
      </c>
    </row>
    <row r="5" spans="1:3" x14ac:dyDescent="0.2">
      <c r="A5" s="12" t="s">
        <v>85</v>
      </c>
      <c r="B5" s="12">
        <v>3</v>
      </c>
      <c r="C5" s="12">
        <v>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8652-40AC-4F02-9A6A-AE8394A065ED}">
  <sheetPr codeName="Sheet10"/>
  <dimension ref="A1:G5"/>
  <sheetViews>
    <sheetView workbookViewId="0">
      <selection activeCell="F6" sqref="F6"/>
    </sheetView>
  </sheetViews>
  <sheetFormatPr defaultRowHeight="15" x14ac:dyDescent="0.25"/>
  <sheetData>
    <row r="1" spans="1:7" x14ac:dyDescent="0.25">
      <c r="A1" s="12" t="s">
        <v>44</v>
      </c>
      <c r="B1" s="12" t="s">
        <v>105</v>
      </c>
      <c r="C1" s="12" t="s">
        <v>105</v>
      </c>
      <c r="D1" s="27" t="s">
        <v>155</v>
      </c>
      <c r="E1" s="27" t="s">
        <v>155</v>
      </c>
      <c r="F1" s="27" t="s">
        <v>137</v>
      </c>
      <c r="G1" s="27" t="s">
        <v>105</v>
      </c>
    </row>
    <row r="2" spans="1:7" x14ac:dyDescent="0.25">
      <c r="A2" s="12" t="s">
        <v>89</v>
      </c>
      <c r="B2" s="12" t="s">
        <v>88</v>
      </c>
      <c r="C2" s="12" t="s">
        <v>88</v>
      </c>
      <c r="D2" s="27" t="s">
        <v>93</v>
      </c>
      <c r="E2" s="27" t="s">
        <v>93</v>
      </c>
      <c r="F2" s="27" t="s">
        <v>88</v>
      </c>
      <c r="G2" s="27" t="s">
        <v>88</v>
      </c>
    </row>
    <row r="3" spans="1:7" x14ac:dyDescent="0.25">
      <c r="A3" s="12" t="s">
        <v>87</v>
      </c>
      <c r="B3" s="12">
        <v>3</v>
      </c>
      <c r="C3" s="12">
        <v>0</v>
      </c>
      <c r="D3">
        <v>5</v>
      </c>
      <c r="E3" s="27">
        <v>2</v>
      </c>
      <c r="F3" s="27">
        <v>2</v>
      </c>
      <c r="G3" s="27">
        <v>0</v>
      </c>
    </row>
    <row r="4" spans="1:7" x14ac:dyDescent="0.25">
      <c r="A4" s="12" t="s">
        <v>86</v>
      </c>
      <c r="B4" s="12">
        <v>1</v>
      </c>
      <c r="C4" s="12">
        <v>4</v>
      </c>
      <c r="D4">
        <v>3</v>
      </c>
      <c r="E4" s="27">
        <v>1</v>
      </c>
      <c r="F4" s="27">
        <v>4</v>
      </c>
      <c r="G4" s="27">
        <v>3</v>
      </c>
    </row>
    <row r="5" spans="1:7" x14ac:dyDescent="0.25">
      <c r="A5" s="12" t="s">
        <v>85</v>
      </c>
      <c r="B5" s="12">
        <v>2</v>
      </c>
      <c r="C5" s="12">
        <v>5</v>
      </c>
      <c r="D5">
        <v>9</v>
      </c>
      <c r="E5" s="27">
        <v>5</v>
      </c>
      <c r="F5" s="27">
        <v>3</v>
      </c>
      <c r="G5" s="27">
        <v>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30-588F-48F7-830E-5FACF4A04208}">
  <sheetPr codeName="Sheet29">
    <outlinePr summaryBelow="0" summaryRight="0"/>
  </sheetPr>
  <dimension ref="A1:R10"/>
  <sheetViews>
    <sheetView workbookViewId="0">
      <selection activeCell="B1" sqref="B1:M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256A-38DA-4C76-A808-9C70218F9803}">
  <sheetPr codeName="Sheet11">
    <outlinePr summaryBelow="0" summaryRight="0"/>
  </sheetPr>
  <dimension ref="A1:P10"/>
  <sheetViews>
    <sheetView workbookViewId="0">
      <selection activeCell="P6" sqref="P6"/>
    </sheetView>
  </sheetViews>
  <sheetFormatPr defaultColWidth="14.42578125" defaultRowHeight="15.75" customHeight="1" x14ac:dyDescent="0.2"/>
  <cols>
    <col min="1" max="16384" width="14.42578125" style="2"/>
  </cols>
  <sheetData>
    <row r="1" spans="1:16" x14ac:dyDescent="0.2">
      <c r="A1" s="12" t="s">
        <v>44</v>
      </c>
      <c r="B1" s="12" t="s">
        <v>112</v>
      </c>
      <c r="C1" s="12" t="s">
        <v>112</v>
      </c>
      <c r="D1" s="12" t="s">
        <v>113</v>
      </c>
      <c r="E1" s="12" t="s">
        <v>103</v>
      </c>
      <c r="F1" s="12" t="s">
        <v>112</v>
      </c>
      <c r="G1" s="12" t="s">
        <v>111</v>
      </c>
      <c r="H1" s="12" t="s">
        <v>110</v>
      </c>
      <c r="I1" s="2" t="s">
        <v>139</v>
      </c>
      <c r="J1" s="2" t="s">
        <v>113</v>
      </c>
      <c r="K1" s="2" t="s">
        <v>117</v>
      </c>
      <c r="L1" s="2" t="s">
        <v>113</v>
      </c>
      <c r="M1" s="2" t="s">
        <v>118</v>
      </c>
      <c r="N1" s="2" t="s">
        <v>113</v>
      </c>
      <c r="O1" s="2" t="s">
        <v>113</v>
      </c>
      <c r="P1" s="2" t="s">
        <v>117</v>
      </c>
    </row>
    <row r="2" spans="1:1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93</v>
      </c>
      <c r="H2" s="12" t="s">
        <v>93</v>
      </c>
      <c r="I2" s="2" t="s">
        <v>88</v>
      </c>
      <c r="J2" s="2" t="s">
        <v>88</v>
      </c>
      <c r="K2" s="2" t="s">
        <v>93</v>
      </c>
      <c r="L2" s="2" t="s">
        <v>93</v>
      </c>
      <c r="M2" s="2" t="s">
        <v>88</v>
      </c>
      <c r="N2" s="2" t="s">
        <v>88</v>
      </c>
      <c r="O2" s="2" t="s">
        <v>93</v>
      </c>
      <c r="P2" s="2" t="s">
        <v>93</v>
      </c>
    </row>
    <row r="3" spans="1:16" x14ac:dyDescent="0.2">
      <c r="A3" s="12" t="s">
        <v>87</v>
      </c>
      <c r="B3" s="12">
        <v>3</v>
      </c>
      <c r="C3" s="12">
        <v>7</v>
      </c>
      <c r="D3" s="12">
        <v>2</v>
      </c>
      <c r="E3" s="12">
        <v>11</v>
      </c>
      <c r="F3" s="12">
        <v>3</v>
      </c>
      <c r="G3" s="12">
        <v>9</v>
      </c>
      <c r="H3" s="12">
        <v>4</v>
      </c>
      <c r="I3" s="2">
        <v>1</v>
      </c>
      <c r="J3" s="2">
        <v>2</v>
      </c>
      <c r="K3" s="2">
        <v>3</v>
      </c>
      <c r="L3" s="2">
        <v>1</v>
      </c>
      <c r="M3" s="2">
        <v>8</v>
      </c>
      <c r="N3" s="2">
        <v>1</v>
      </c>
      <c r="O3" s="2">
        <v>9</v>
      </c>
      <c r="P3" s="2">
        <v>2</v>
      </c>
    </row>
    <row r="4" spans="1:16" x14ac:dyDescent="0.2">
      <c r="A4" s="12" t="s">
        <v>86</v>
      </c>
      <c r="B4" s="12">
        <v>6</v>
      </c>
      <c r="C4" s="12">
        <v>0</v>
      </c>
      <c r="D4" s="12">
        <v>6</v>
      </c>
      <c r="E4" s="12">
        <v>7</v>
      </c>
      <c r="F4" s="12">
        <v>10</v>
      </c>
      <c r="G4" s="12">
        <v>9</v>
      </c>
      <c r="H4" s="12">
        <v>8</v>
      </c>
      <c r="I4" s="2">
        <v>8</v>
      </c>
      <c r="J4" s="2">
        <v>14</v>
      </c>
      <c r="K4" s="2">
        <v>8</v>
      </c>
      <c r="L4" s="2">
        <v>4</v>
      </c>
      <c r="M4" s="2">
        <v>9</v>
      </c>
      <c r="N4" s="2">
        <v>8</v>
      </c>
      <c r="O4" s="2">
        <v>5</v>
      </c>
      <c r="P4" s="2">
        <v>5</v>
      </c>
    </row>
    <row r="5" spans="1:16" x14ac:dyDescent="0.2">
      <c r="A5" s="12" t="s">
        <v>85</v>
      </c>
      <c r="B5" s="12">
        <v>12</v>
      </c>
      <c r="C5" s="12">
        <v>2</v>
      </c>
      <c r="D5" s="12">
        <v>8</v>
      </c>
      <c r="E5" s="12">
        <v>8</v>
      </c>
      <c r="F5" s="12">
        <v>14</v>
      </c>
      <c r="G5" s="12">
        <v>9</v>
      </c>
      <c r="H5" s="12">
        <v>6</v>
      </c>
      <c r="I5" s="2">
        <v>2</v>
      </c>
      <c r="J5" s="2">
        <v>2</v>
      </c>
      <c r="K5" s="2">
        <v>10</v>
      </c>
      <c r="L5" s="2">
        <v>7</v>
      </c>
      <c r="M5" s="2">
        <v>8</v>
      </c>
      <c r="N5" s="2">
        <v>3</v>
      </c>
      <c r="O5" s="2">
        <v>7</v>
      </c>
      <c r="P5" s="2">
        <v>4</v>
      </c>
    </row>
    <row r="6" spans="1:16" x14ac:dyDescent="0.2">
      <c r="G6" s="19"/>
      <c r="H6" s="19"/>
    </row>
    <row r="7" spans="1:16" x14ac:dyDescent="0.2">
      <c r="G7" s="19"/>
      <c r="H7" s="19"/>
    </row>
    <row r="8" spans="1:16" x14ac:dyDescent="0.2">
      <c r="G8" s="19"/>
      <c r="H8" s="19"/>
    </row>
    <row r="9" spans="1:16" x14ac:dyDescent="0.2">
      <c r="G9" s="19"/>
      <c r="H9" s="19"/>
    </row>
    <row r="10" spans="1:16" x14ac:dyDescent="0.2">
      <c r="G10" s="19"/>
      <c r="H10" s="1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061F-8BDD-4747-88C9-706BEF08DAF3}">
  <sheetPr codeName="Sheet12">
    <outlinePr summaryBelow="0" summaryRight="0"/>
  </sheetPr>
  <dimension ref="A1:I5"/>
  <sheetViews>
    <sheetView workbookViewId="0">
      <selection activeCell="H3" sqref="H3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116</v>
      </c>
      <c r="C1" s="12" t="s">
        <v>116</v>
      </c>
      <c r="D1" s="12" t="s">
        <v>115</v>
      </c>
      <c r="E1" s="12" t="s">
        <v>114</v>
      </c>
      <c r="F1" s="2" t="s">
        <v>136</v>
      </c>
      <c r="G1" s="2" t="s">
        <v>138</v>
      </c>
      <c r="H1" s="2" t="s">
        <v>169</v>
      </c>
      <c r="I1" s="2" t="s">
        <v>169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2" t="s">
        <v>88</v>
      </c>
      <c r="G2" s="2" t="s">
        <v>88</v>
      </c>
      <c r="H2" s="2" t="s">
        <v>93</v>
      </c>
      <c r="I2" s="2" t="s">
        <v>93</v>
      </c>
    </row>
    <row r="3" spans="1:9" x14ac:dyDescent="0.2">
      <c r="A3" s="12" t="s">
        <v>87</v>
      </c>
      <c r="B3" s="12">
        <v>0</v>
      </c>
      <c r="C3" s="12">
        <v>1</v>
      </c>
      <c r="D3" s="12">
        <v>0</v>
      </c>
      <c r="E3" s="12">
        <v>1</v>
      </c>
      <c r="F3" s="2">
        <v>0</v>
      </c>
      <c r="G3" s="2">
        <v>0</v>
      </c>
      <c r="H3" s="2">
        <v>3</v>
      </c>
      <c r="I3" s="2">
        <v>2</v>
      </c>
    </row>
    <row r="4" spans="1:9" x14ac:dyDescent="0.2">
      <c r="A4" s="12" t="s">
        <v>86</v>
      </c>
      <c r="B4" s="12">
        <v>1</v>
      </c>
      <c r="C4" s="12">
        <v>2</v>
      </c>
      <c r="D4" s="12">
        <v>7</v>
      </c>
      <c r="E4" s="12">
        <v>3</v>
      </c>
      <c r="F4" s="2">
        <v>7</v>
      </c>
      <c r="G4" s="2">
        <v>8</v>
      </c>
      <c r="H4" s="2">
        <v>3</v>
      </c>
      <c r="I4" s="2">
        <v>2</v>
      </c>
    </row>
    <row r="5" spans="1:9" x14ac:dyDescent="0.2">
      <c r="A5" s="12" t="s">
        <v>85</v>
      </c>
      <c r="B5" s="12">
        <v>13</v>
      </c>
      <c r="C5" s="12">
        <v>25</v>
      </c>
      <c r="D5" s="12">
        <v>5</v>
      </c>
      <c r="E5" s="12">
        <v>0</v>
      </c>
      <c r="F5" s="2">
        <v>5</v>
      </c>
      <c r="G5" s="2">
        <v>5</v>
      </c>
      <c r="H5" s="2">
        <v>18</v>
      </c>
      <c r="I5" s="2">
        <v>13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76397-6171-4D32-9445-31F92F172F25}">
  <sheetPr codeName="Sheet26">
    <outlinePr summaryBelow="0" summaryRight="0"/>
  </sheetPr>
  <dimension ref="A1:D5"/>
  <sheetViews>
    <sheetView workbookViewId="0">
      <selection activeCell="E6" sqref="E6"/>
    </sheetView>
  </sheetViews>
  <sheetFormatPr defaultColWidth="14.42578125" defaultRowHeight="15.75" customHeight="1" x14ac:dyDescent="0.2"/>
  <cols>
    <col min="1" max="16384" width="14.42578125" style="2"/>
  </cols>
  <sheetData>
    <row r="1" spans="1:4" x14ac:dyDescent="0.2">
      <c r="A1" s="12" t="s">
        <v>44</v>
      </c>
      <c r="B1" s="2" t="s">
        <v>186</v>
      </c>
      <c r="C1" s="2" t="s">
        <v>110</v>
      </c>
      <c r="D1" s="2" t="s">
        <v>100</v>
      </c>
    </row>
    <row r="2" spans="1:4" x14ac:dyDescent="0.2">
      <c r="A2" s="12" t="s">
        <v>89</v>
      </c>
      <c r="B2" s="2" t="s">
        <v>93</v>
      </c>
      <c r="C2" s="2" t="s">
        <v>88</v>
      </c>
      <c r="D2" s="2" t="s">
        <v>93</v>
      </c>
    </row>
    <row r="3" spans="1:4" x14ac:dyDescent="0.2">
      <c r="A3" s="12" t="s">
        <v>87</v>
      </c>
      <c r="B3" s="2">
        <v>7</v>
      </c>
      <c r="C3" s="2">
        <v>8</v>
      </c>
      <c r="D3" s="2">
        <v>5</v>
      </c>
    </row>
    <row r="4" spans="1:4" x14ac:dyDescent="0.2">
      <c r="A4" s="12" t="s">
        <v>86</v>
      </c>
      <c r="B4" s="2">
        <v>2</v>
      </c>
      <c r="C4" s="2">
        <v>11</v>
      </c>
      <c r="D4" s="2">
        <v>5</v>
      </c>
    </row>
    <row r="5" spans="1:4" x14ac:dyDescent="0.2">
      <c r="A5" s="12" t="s">
        <v>85</v>
      </c>
      <c r="B5" s="2">
        <v>11</v>
      </c>
      <c r="C5" s="2">
        <v>3</v>
      </c>
      <c r="D5" s="2">
        <v>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6769C-C6CC-44D2-A900-71617399AC1B}">
  <sheetPr codeName="Sheet13">
    <outlinePr summaryBelow="0" summaryRight="0"/>
  </sheetPr>
  <dimension ref="A1:F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120</v>
      </c>
      <c r="C1" s="12" t="s">
        <v>120</v>
      </c>
      <c r="D1" s="12" t="s">
        <v>119</v>
      </c>
      <c r="E1" s="12" t="s">
        <v>118</v>
      </c>
      <c r="F1" s="12" t="s">
        <v>117</v>
      </c>
    </row>
    <row r="2" spans="1: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88</v>
      </c>
      <c r="F2" s="12" t="s">
        <v>88</v>
      </c>
    </row>
    <row r="3" spans="1:6" x14ac:dyDescent="0.2">
      <c r="A3" s="12" t="s">
        <v>87</v>
      </c>
      <c r="B3" s="12">
        <v>4</v>
      </c>
      <c r="C3" s="12">
        <v>4</v>
      </c>
      <c r="D3" s="12">
        <v>3</v>
      </c>
      <c r="E3" s="12">
        <v>1</v>
      </c>
      <c r="F3" s="12">
        <v>2</v>
      </c>
    </row>
    <row r="4" spans="1:6" x14ac:dyDescent="0.2">
      <c r="A4" s="12" t="s">
        <v>86</v>
      </c>
      <c r="B4" s="12">
        <v>3</v>
      </c>
      <c r="C4" s="12">
        <v>4</v>
      </c>
      <c r="D4" s="12">
        <v>6</v>
      </c>
      <c r="E4" s="12">
        <v>10</v>
      </c>
      <c r="F4" s="12">
        <v>7</v>
      </c>
    </row>
    <row r="5" spans="1:6" x14ac:dyDescent="0.2">
      <c r="A5" s="12" t="s">
        <v>85</v>
      </c>
      <c r="B5" s="12">
        <v>12</v>
      </c>
      <c r="C5" s="12">
        <v>9</v>
      </c>
      <c r="D5" s="12">
        <v>13</v>
      </c>
      <c r="E5" s="12">
        <v>2</v>
      </c>
      <c r="F5" s="12">
        <v>5</v>
      </c>
    </row>
    <row r="6" spans="1:6" x14ac:dyDescent="0.2">
      <c r="E6" s="19"/>
      <c r="F6" s="19"/>
    </row>
    <row r="7" spans="1:6" x14ac:dyDescent="0.2">
      <c r="E7" s="19"/>
      <c r="F7" s="19"/>
    </row>
    <row r="8" spans="1:6" x14ac:dyDescent="0.2">
      <c r="E8" s="19"/>
      <c r="F8" s="19"/>
    </row>
    <row r="9" spans="1:6" x14ac:dyDescent="0.2">
      <c r="E9" s="19"/>
      <c r="F9" s="19"/>
    </row>
    <row r="10" spans="1:6" x14ac:dyDescent="0.2">
      <c r="E10" s="19"/>
      <c r="F10" s="1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62D-9891-4408-88AE-E5F9BE97B24C}">
  <sheetPr codeName="Sheet14">
    <outlinePr summaryBelow="0" summaryRight="0"/>
  </sheetPr>
  <dimension ref="A1:W10"/>
  <sheetViews>
    <sheetView topLeftCell="G1" workbookViewId="0">
      <selection activeCell="V13" sqref="V13"/>
    </sheetView>
  </sheetViews>
  <sheetFormatPr defaultColWidth="14.42578125" defaultRowHeight="15.75" customHeight="1" x14ac:dyDescent="0.2"/>
  <cols>
    <col min="1" max="16384" width="14.42578125" style="2"/>
  </cols>
  <sheetData>
    <row r="1" spans="1:23" x14ac:dyDescent="0.2">
      <c r="A1" s="12" t="s">
        <v>44</v>
      </c>
      <c r="B1" s="12" t="s">
        <v>112</v>
      </c>
      <c r="C1" s="12" t="s">
        <v>112</v>
      </c>
      <c r="D1" s="12" t="s">
        <v>95</v>
      </c>
      <c r="E1" s="12" t="s">
        <v>95</v>
      </c>
      <c r="F1" s="12" t="s">
        <v>124</v>
      </c>
      <c r="G1" s="12" t="s">
        <v>123</v>
      </c>
      <c r="H1" s="12" t="s">
        <v>122</v>
      </c>
      <c r="I1" s="12" t="s">
        <v>122</v>
      </c>
      <c r="J1" s="12" t="s">
        <v>121</v>
      </c>
      <c r="K1" s="12" t="s">
        <v>122</v>
      </c>
      <c r="L1" s="12" t="s">
        <v>121</v>
      </c>
      <c r="M1" s="2" t="s">
        <v>156</v>
      </c>
      <c r="N1" s="2" t="s">
        <v>121</v>
      </c>
      <c r="O1" s="2" t="s">
        <v>112</v>
      </c>
      <c r="P1" s="2" t="s">
        <v>164</v>
      </c>
      <c r="Q1" s="2" t="s">
        <v>112</v>
      </c>
      <c r="R1" s="2" t="s">
        <v>164</v>
      </c>
      <c r="S1" s="2" t="s">
        <v>180</v>
      </c>
      <c r="T1" s="2" t="s">
        <v>95</v>
      </c>
      <c r="U1" s="2" t="s">
        <v>112</v>
      </c>
      <c r="V1" s="2" t="s">
        <v>187</v>
      </c>
      <c r="W1" s="2" t="s">
        <v>121</v>
      </c>
    </row>
    <row r="2" spans="1:23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88</v>
      </c>
      <c r="J2" s="12" t="s">
        <v>88</v>
      </c>
      <c r="K2" s="12" t="s">
        <v>88</v>
      </c>
      <c r="L2" s="12" t="s">
        <v>88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  <c r="S2" s="2" t="s">
        <v>88</v>
      </c>
      <c r="T2" s="2" t="s">
        <v>88</v>
      </c>
      <c r="U2" s="2" t="s">
        <v>88</v>
      </c>
      <c r="V2" s="2" t="s">
        <v>93</v>
      </c>
      <c r="W2" s="2" t="s">
        <v>88</v>
      </c>
    </row>
    <row r="3" spans="1:23" x14ac:dyDescent="0.2">
      <c r="A3" s="12" t="s">
        <v>87</v>
      </c>
      <c r="B3" s="12">
        <v>2</v>
      </c>
      <c r="C3" s="12">
        <v>3</v>
      </c>
      <c r="D3" s="12">
        <v>7</v>
      </c>
      <c r="E3" s="12">
        <v>0</v>
      </c>
      <c r="F3" s="12">
        <v>5</v>
      </c>
      <c r="G3" s="12">
        <v>8</v>
      </c>
      <c r="H3" s="12">
        <v>6</v>
      </c>
      <c r="I3" s="12">
        <v>4</v>
      </c>
      <c r="J3" s="12">
        <v>10</v>
      </c>
      <c r="K3" s="12">
        <v>3</v>
      </c>
      <c r="L3" s="12">
        <v>6</v>
      </c>
      <c r="M3" s="2">
        <v>0</v>
      </c>
      <c r="N3" s="2">
        <v>4</v>
      </c>
      <c r="O3" s="2">
        <v>3</v>
      </c>
      <c r="P3" s="2">
        <v>12</v>
      </c>
      <c r="Q3" s="2">
        <v>4</v>
      </c>
      <c r="R3" s="2">
        <v>2</v>
      </c>
      <c r="S3" s="2">
        <v>4</v>
      </c>
      <c r="T3" s="2">
        <v>4</v>
      </c>
      <c r="U3" s="2">
        <v>7</v>
      </c>
      <c r="V3" s="2">
        <v>15</v>
      </c>
      <c r="W3" s="2">
        <v>7</v>
      </c>
    </row>
    <row r="4" spans="1:23" x14ac:dyDescent="0.2">
      <c r="A4" s="12" t="s">
        <v>86</v>
      </c>
      <c r="B4" s="12">
        <v>2</v>
      </c>
      <c r="C4" s="12">
        <v>10</v>
      </c>
      <c r="D4" s="12">
        <v>5</v>
      </c>
      <c r="E4" s="12">
        <v>3</v>
      </c>
      <c r="F4" s="12">
        <v>3</v>
      </c>
      <c r="G4" s="12">
        <v>2</v>
      </c>
      <c r="H4" s="12">
        <v>4</v>
      </c>
      <c r="I4" s="12">
        <v>8</v>
      </c>
      <c r="J4" s="12">
        <v>5</v>
      </c>
      <c r="K4" s="12">
        <v>8</v>
      </c>
      <c r="L4" s="12">
        <v>10</v>
      </c>
      <c r="M4" s="2">
        <v>5</v>
      </c>
      <c r="N4" s="2">
        <v>9</v>
      </c>
      <c r="O4" s="2">
        <v>4</v>
      </c>
      <c r="P4" s="2">
        <v>2</v>
      </c>
      <c r="Q4" s="2">
        <v>6</v>
      </c>
      <c r="R4" s="2">
        <v>2</v>
      </c>
      <c r="S4" s="2">
        <v>11</v>
      </c>
      <c r="T4" s="2">
        <v>10</v>
      </c>
      <c r="U4" s="2">
        <v>7</v>
      </c>
      <c r="V4" s="2">
        <v>5</v>
      </c>
      <c r="W4" s="2">
        <v>3</v>
      </c>
    </row>
    <row r="5" spans="1:23" x14ac:dyDescent="0.2">
      <c r="A5" s="12" t="s">
        <v>85</v>
      </c>
      <c r="B5" s="12">
        <v>12</v>
      </c>
      <c r="C5" s="12">
        <v>20</v>
      </c>
      <c r="D5" s="12">
        <v>5</v>
      </c>
      <c r="E5" s="12">
        <v>1</v>
      </c>
      <c r="F5" s="12">
        <v>16</v>
      </c>
      <c r="G5" s="12">
        <v>5</v>
      </c>
      <c r="H5" s="12">
        <v>9</v>
      </c>
      <c r="I5" s="12">
        <v>4</v>
      </c>
      <c r="J5" s="12">
        <v>5</v>
      </c>
      <c r="K5" s="12">
        <v>2</v>
      </c>
      <c r="L5" s="12">
        <v>4</v>
      </c>
      <c r="M5" s="2">
        <v>1</v>
      </c>
      <c r="N5" s="2">
        <v>0</v>
      </c>
      <c r="O5" s="2">
        <v>10</v>
      </c>
      <c r="P5" s="2">
        <v>2</v>
      </c>
      <c r="Q5" s="2">
        <v>16</v>
      </c>
      <c r="R5" s="2">
        <v>6</v>
      </c>
      <c r="S5" s="2">
        <v>4</v>
      </c>
      <c r="T5" s="2">
        <v>7</v>
      </c>
      <c r="U5" s="2">
        <v>14</v>
      </c>
      <c r="V5" s="2">
        <v>8</v>
      </c>
      <c r="W5" s="2">
        <v>6</v>
      </c>
    </row>
    <row r="6" spans="1:23" x14ac:dyDescent="0.2">
      <c r="I6" s="19"/>
      <c r="J6" s="19"/>
    </row>
    <row r="7" spans="1:23" x14ac:dyDescent="0.2">
      <c r="I7" s="19"/>
      <c r="J7" s="19"/>
    </row>
    <row r="8" spans="1:23" x14ac:dyDescent="0.2">
      <c r="I8" s="19"/>
      <c r="J8" s="19"/>
    </row>
    <row r="9" spans="1:23" x14ac:dyDescent="0.2">
      <c r="I9" s="19"/>
      <c r="J9" s="19"/>
    </row>
    <row r="10" spans="1:23" x14ac:dyDescent="0.2">
      <c r="I10" s="19"/>
      <c r="J10" s="1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5EC3-2A61-4C6B-8603-8EBB474F4B0D}">
  <sheetPr codeName="Sheet15">
    <outlinePr summaryBelow="0" summaryRight="0"/>
  </sheetPr>
  <dimension ref="A1:I5"/>
  <sheetViews>
    <sheetView workbookViewId="0">
      <selection activeCell="J1" sqref="J1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126</v>
      </c>
      <c r="C1" s="12" t="s">
        <v>125</v>
      </c>
      <c r="D1" s="2" t="s">
        <v>157</v>
      </c>
      <c r="E1" s="2" t="s">
        <v>157</v>
      </c>
      <c r="F1" s="2" t="s">
        <v>157</v>
      </c>
      <c r="G1" s="2" t="s">
        <v>125</v>
      </c>
      <c r="H1" s="2" t="s">
        <v>169</v>
      </c>
      <c r="I1" s="2" t="s">
        <v>125</v>
      </c>
    </row>
    <row r="2" spans="1:9" x14ac:dyDescent="0.2">
      <c r="A2" s="12" t="s">
        <v>89</v>
      </c>
      <c r="B2" s="12" t="s">
        <v>93</v>
      </c>
      <c r="C2" s="12" t="s">
        <v>93</v>
      </c>
      <c r="D2" s="2" t="s">
        <v>93</v>
      </c>
      <c r="E2" s="2" t="s">
        <v>93</v>
      </c>
      <c r="F2" s="2" t="s">
        <v>88</v>
      </c>
      <c r="G2" s="2" t="s">
        <v>88</v>
      </c>
      <c r="H2" s="2" t="s">
        <v>88</v>
      </c>
      <c r="I2" s="2" t="s">
        <v>88</v>
      </c>
    </row>
    <row r="3" spans="1:9" x14ac:dyDescent="0.2">
      <c r="A3" s="12" t="s">
        <v>87</v>
      </c>
      <c r="B3" s="12">
        <v>0</v>
      </c>
      <c r="C3" s="12">
        <v>0</v>
      </c>
      <c r="D3" s="2">
        <v>4</v>
      </c>
      <c r="E3" s="2">
        <v>4</v>
      </c>
      <c r="F3" s="2">
        <v>2</v>
      </c>
      <c r="G3" s="2">
        <v>1</v>
      </c>
      <c r="H3" s="2">
        <v>0</v>
      </c>
      <c r="I3" s="2">
        <v>4</v>
      </c>
    </row>
    <row r="4" spans="1:9" x14ac:dyDescent="0.2">
      <c r="A4" s="12" t="s">
        <v>86</v>
      </c>
      <c r="B4" s="12">
        <v>0</v>
      </c>
      <c r="C4" s="12">
        <v>5</v>
      </c>
      <c r="D4" s="2">
        <v>4</v>
      </c>
      <c r="E4" s="2">
        <v>5</v>
      </c>
      <c r="F4" s="2">
        <v>5</v>
      </c>
      <c r="G4" s="2">
        <v>2</v>
      </c>
      <c r="H4" s="2">
        <v>4</v>
      </c>
      <c r="I4" s="2">
        <v>3</v>
      </c>
    </row>
    <row r="5" spans="1:9" x14ac:dyDescent="0.2">
      <c r="A5" s="12" t="s">
        <v>85</v>
      </c>
      <c r="B5" s="12">
        <v>13</v>
      </c>
      <c r="C5" s="12">
        <v>10</v>
      </c>
      <c r="D5" s="2">
        <v>14</v>
      </c>
      <c r="E5" s="2">
        <v>16</v>
      </c>
      <c r="F5" s="2">
        <v>4</v>
      </c>
      <c r="G5" s="2">
        <v>6</v>
      </c>
      <c r="H5" s="2">
        <v>10</v>
      </c>
      <c r="I5" s="2">
        <v>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A64B-E146-46FE-AC91-61D99565D2F3}">
  <sheetPr codeName="Sheet16">
    <outlinePr summaryBelow="0" summaryRight="0"/>
  </sheetPr>
  <dimension ref="A1:W10"/>
  <sheetViews>
    <sheetView topLeftCell="F1" workbookViewId="0">
      <selection activeCell="V6" sqref="V6"/>
    </sheetView>
  </sheetViews>
  <sheetFormatPr defaultColWidth="14.42578125" defaultRowHeight="15.75" customHeight="1" x14ac:dyDescent="0.2"/>
  <cols>
    <col min="1" max="16384" width="14.42578125" style="2"/>
  </cols>
  <sheetData>
    <row r="1" spans="1:23" x14ac:dyDescent="0.2">
      <c r="A1" s="12" t="s">
        <v>44</v>
      </c>
      <c r="B1" s="12" t="s">
        <v>129</v>
      </c>
      <c r="C1" s="12" t="s">
        <v>132</v>
      </c>
      <c r="D1" s="12" t="s">
        <v>128</v>
      </c>
      <c r="E1" s="12" t="s">
        <v>131</v>
      </c>
      <c r="F1" s="12" t="s">
        <v>123</v>
      </c>
      <c r="G1" s="12" t="s">
        <v>118</v>
      </c>
      <c r="H1" s="12" t="s">
        <v>59</v>
      </c>
      <c r="I1" s="12" t="s">
        <v>130</v>
      </c>
      <c r="J1" s="12" t="s">
        <v>129</v>
      </c>
      <c r="K1" s="12" t="s">
        <v>128</v>
      </c>
      <c r="L1" s="12" t="s">
        <v>127</v>
      </c>
      <c r="M1" s="2" t="s">
        <v>105</v>
      </c>
      <c r="N1" s="2" t="s">
        <v>91</v>
      </c>
      <c r="O1" s="2" t="s">
        <v>129</v>
      </c>
      <c r="P1" s="2" t="s">
        <v>128</v>
      </c>
      <c r="Q1" s="2" t="s">
        <v>127</v>
      </c>
      <c r="R1" s="2" t="s">
        <v>128</v>
      </c>
      <c r="S1" s="2" t="s">
        <v>123</v>
      </c>
      <c r="T1" s="2" t="s">
        <v>171</v>
      </c>
      <c r="U1" s="2" t="s">
        <v>188</v>
      </c>
      <c r="V1" s="2" t="s">
        <v>172</v>
      </c>
      <c r="W1" s="2" t="s">
        <v>129</v>
      </c>
    </row>
    <row r="2" spans="1:23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93</v>
      </c>
      <c r="I2" s="12" t="s">
        <v>88</v>
      </c>
      <c r="J2" s="12" t="s">
        <v>88</v>
      </c>
      <c r="K2" s="12" t="s">
        <v>93</v>
      </c>
      <c r="L2" s="12" t="s">
        <v>93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  <c r="S2" s="2" t="s">
        <v>93</v>
      </c>
      <c r="T2" s="2" t="s">
        <v>93</v>
      </c>
      <c r="U2" s="2" t="s">
        <v>88</v>
      </c>
      <c r="V2" s="2" t="s">
        <v>93</v>
      </c>
      <c r="W2" s="2" t="s">
        <v>88</v>
      </c>
    </row>
    <row r="3" spans="1:23" x14ac:dyDescent="0.2">
      <c r="A3" s="12" t="s">
        <v>87</v>
      </c>
      <c r="B3" s="12">
        <v>10</v>
      </c>
      <c r="C3" s="12">
        <v>9</v>
      </c>
      <c r="D3" s="12">
        <v>10</v>
      </c>
      <c r="E3" s="12">
        <v>1</v>
      </c>
      <c r="F3" s="12">
        <v>13</v>
      </c>
      <c r="G3" s="12">
        <v>12</v>
      </c>
      <c r="H3" s="12">
        <v>14</v>
      </c>
      <c r="I3" s="12">
        <v>7</v>
      </c>
      <c r="J3" s="12">
        <v>4</v>
      </c>
      <c r="K3" s="12">
        <v>11</v>
      </c>
      <c r="L3" s="12">
        <v>7</v>
      </c>
      <c r="M3" s="2">
        <v>5</v>
      </c>
      <c r="N3" s="2">
        <v>7</v>
      </c>
      <c r="O3" s="2">
        <v>15</v>
      </c>
      <c r="P3" s="2">
        <v>4</v>
      </c>
      <c r="Q3" s="2">
        <v>12</v>
      </c>
      <c r="R3" s="2">
        <v>9</v>
      </c>
      <c r="S3" s="2">
        <v>13</v>
      </c>
      <c r="T3" s="2">
        <v>16</v>
      </c>
      <c r="U3" s="2">
        <v>11</v>
      </c>
      <c r="V3" s="2">
        <v>7</v>
      </c>
      <c r="W3" s="2">
        <v>1</v>
      </c>
    </row>
    <row r="4" spans="1:23" x14ac:dyDescent="0.2">
      <c r="A4" s="12" t="s">
        <v>86</v>
      </c>
      <c r="B4" s="12">
        <v>3</v>
      </c>
      <c r="C4" s="12">
        <v>8</v>
      </c>
      <c r="D4" s="12">
        <v>5</v>
      </c>
      <c r="E4" s="12">
        <v>2</v>
      </c>
      <c r="F4" s="12">
        <v>5</v>
      </c>
      <c r="G4" s="12">
        <v>5</v>
      </c>
      <c r="H4" s="12">
        <v>3</v>
      </c>
      <c r="I4" s="12">
        <v>4</v>
      </c>
      <c r="J4" s="12">
        <v>8</v>
      </c>
      <c r="K4" s="12">
        <v>5</v>
      </c>
      <c r="L4" s="12">
        <v>5</v>
      </c>
      <c r="M4" s="2">
        <v>8</v>
      </c>
      <c r="N4" s="2">
        <v>4</v>
      </c>
      <c r="O4" s="2">
        <v>1</v>
      </c>
      <c r="P4" s="2">
        <v>7</v>
      </c>
      <c r="Q4" s="2">
        <v>5</v>
      </c>
      <c r="R4" s="2">
        <v>3</v>
      </c>
      <c r="S4" s="2">
        <v>6</v>
      </c>
      <c r="T4" s="2">
        <v>5</v>
      </c>
      <c r="U4" s="2">
        <v>8</v>
      </c>
      <c r="V4" s="2">
        <v>3</v>
      </c>
      <c r="W4" s="2">
        <v>9</v>
      </c>
    </row>
    <row r="5" spans="1:23" x14ac:dyDescent="0.2">
      <c r="A5" s="12" t="s">
        <v>85</v>
      </c>
      <c r="B5" s="12">
        <v>6</v>
      </c>
      <c r="C5" s="12">
        <v>12</v>
      </c>
      <c r="D5" s="12">
        <v>5</v>
      </c>
      <c r="E5" s="12">
        <v>3</v>
      </c>
      <c r="F5" s="12">
        <v>3</v>
      </c>
      <c r="G5" s="12">
        <v>6</v>
      </c>
      <c r="H5" s="12">
        <v>3</v>
      </c>
      <c r="I5" s="12">
        <v>4</v>
      </c>
      <c r="J5" s="12">
        <v>2</v>
      </c>
      <c r="K5" s="12">
        <v>5</v>
      </c>
      <c r="L5" s="12">
        <v>3</v>
      </c>
      <c r="M5" s="2">
        <v>1</v>
      </c>
      <c r="N5" s="2">
        <v>1</v>
      </c>
      <c r="O5" s="2">
        <v>6</v>
      </c>
      <c r="P5" s="2">
        <v>1</v>
      </c>
      <c r="Q5" s="2">
        <v>9</v>
      </c>
      <c r="R5" s="2">
        <v>5</v>
      </c>
      <c r="S5" s="2">
        <v>3</v>
      </c>
      <c r="T5" s="2">
        <v>3</v>
      </c>
      <c r="U5" s="2">
        <v>4</v>
      </c>
      <c r="V5" s="2">
        <v>11</v>
      </c>
      <c r="W5" s="2">
        <v>7</v>
      </c>
    </row>
    <row r="6" spans="1:23" x14ac:dyDescent="0.2">
      <c r="I6" s="19"/>
      <c r="J6" s="19"/>
    </row>
    <row r="7" spans="1:23" x14ac:dyDescent="0.2">
      <c r="I7" s="19"/>
      <c r="J7" s="19"/>
    </row>
    <row r="8" spans="1:23" x14ac:dyDescent="0.2">
      <c r="I8" s="19"/>
      <c r="J8" s="19"/>
    </row>
    <row r="9" spans="1:23" x14ac:dyDescent="0.2">
      <c r="I9" s="19"/>
      <c r="J9" s="19"/>
    </row>
    <row r="10" spans="1:23" x14ac:dyDescent="0.2">
      <c r="I10" s="19"/>
      <c r="J10" s="1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F1493-E6CD-4972-9BFB-6067A96C3FA3}">
  <sheetPr codeName="Sheet25"/>
  <dimension ref="A1:F5"/>
  <sheetViews>
    <sheetView workbookViewId="0">
      <selection activeCell="G6" sqref="G6"/>
    </sheetView>
  </sheetViews>
  <sheetFormatPr defaultColWidth="14.42578125" defaultRowHeight="15" x14ac:dyDescent="0.25"/>
  <sheetData>
    <row r="1" spans="1:6" x14ac:dyDescent="0.25">
      <c r="A1" s="12" t="s">
        <v>44</v>
      </c>
      <c r="B1" t="s">
        <v>181</v>
      </c>
      <c r="C1" t="s">
        <v>181</v>
      </c>
      <c r="D1" t="s">
        <v>181</v>
      </c>
      <c r="E1" t="s">
        <v>181</v>
      </c>
      <c r="F1" t="s">
        <v>181</v>
      </c>
    </row>
    <row r="2" spans="1:6" x14ac:dyDescent="0.25">
      <c r="A2" s="12" t="s">
        <v>89</v>
      </c>
      <c r="B2" t="s">
        <v>88</v>
      </c>
      <c r="C2" t="s">
        <v>88</v>
      </c>
      <c r="D2" t="s">
        <v>88</v>
      </c>
      <c r="E2" t="s">
        <v>93</v>
      </c>
      <c r="F2" t="s">
        <v>88</v>
      </c>
    </row>
    <row r="3" spans="1:6" x14ac:dyDescent="0.25">
      <c r="A3" s="12" t="s">
        <v>87</v>
      </c>
      <c r="B3">
        <v>1</v>
      </c>
      <c r="C3">
        <v>5</v>
      </c>
      <c r="D3">
        <v>1</v>
      </c>
      <c r="E3">
        <v>2</v>
      </c>
      <c r="F3">
        <v>4</v>
      </c>
    </row>
    <row r="4" spans="1:6" x14ac:dyDescent="0.25">
      <c r="A4" s="12" t="s">
        <v>86</v>
      </c>
      <c r="B4">
        <v>8</v>
      </c>
      <c r="C4">
        <v>7</v>
      </c>
      <c r="D4">
        <v>10</v>
      </c>
      <c r="E4">
        <v>6</v>
      </c>
      <c r="F4">
        <v>7</v>
      </c>
    </row>
    <row r="5" spans="1:6" x14ac:dyDescent="0.25">
      <c r="A5" s="12" t="s">
        <v>85</v>
      </c>
      <c r="B5">
        <v>10</v>
      </c>
      <c r="C5">
        <v>6</v>
      </c>
      <c r="D5">
        <v>6</v>
      </c>
      <c r="E5">
        <v>17</v>
      </c>
      <c r="F5">
        <v>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919F-2D60-4880-A5FB-BF84BD3DF87A}">
  <sheetPr codeName="Sheet17">
    <outlinePr summaryBelow="0" summaryRight="0"/>
  </sheetPr>
  <dimension ref="A1:A5"/>
  <sheetViews>
    <sheetView workbookViewId="0">
      <selection activeCell="H35" sqref="H35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C3DD-31F9-4B23-9051-7D85C7DB39A2}">
  <sheetPr codeName="Sheet18">
    <outlinePr summaryBelow="0" summaryRight="0"/>
  </sheetPr>
  <dimension ref="A1:U10"/>
  <sheetViews>
    <sheetView topLeftCell="D1" workbookViewId="0">
      <selection activeCell="S6" sqref="S6"/>
    </sheetView>
  </sheetViews>
  <sheetFormatPr defaultColWidth="14.42578125" defaultRowHeight="15.75" customHeight="1" x14ac:dyDescent="0.2"/>
  <cols>
    <col min="1" max="16384" width="14.42578125" style="2"/>
  </cols>
  <sheetData>
    <row r="1" spans="1:21" x14ac:dyDescent="0.2">
      <c r="A1" s="12" t="s">
        <v>44</v>
      </c>
      <c r="B1" s="12" t="s">
        <v>138</v>
      </c>
      <c r="C1" s="12" t="s">
        <v>137</v>
      </c>
      <c r="D1" s="12" t="s">
        <v>136</v>
      </c>
      <c r="E1" s="12" t="s">
        <v>136</v>
      </c>
      <c r="F1" s="12" t="s">
        <v>116</v>
      </c>
      <c r="G1" s="12" t="s">
        <v>134</v>
      </c>
      <c r="H1" s="12" t="s">
        <v>135</v>
      </c>
      <c r="I1" s="12" t="s">
        <v>125</v>
      </c>
      <c r="J1" s="12" t="s">
        <v>134</v>
      </c>
      <c r="K1" s="12" t="s">
        <v>125</v>
      </c>
      <c r="L1" s="12" t="s">
        <v>133</v>
      </c>
      <c r="M1" s="2" t="s">
        <v>110</v>
      </c>
      <c r="N1" s="2" t="s">
        <v>158</v>
      </c>
      <c r="O1" s="2" t="s">
        <v>165</v>
      </c>
      <c r="P1" s="2" t="s">
        <v>157</v>
      </c>
      <c r="Q1" s="2" t="s">
        <v>172</v>
      </c>
      <c r="R1" s="2" t="s">
        <v>133</v>
      </c>
      <c r="S1" s="2" t="s">
        <v>114</v>
      </c>
      <c r="T1" s="2" t="s">
        <v>139</v>
      </c>
      <c r="U1" s="2" t="s">
        <v>134</v>
      </c>
    </row>
    <row r="2" spans="1:21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93</v>
      </c>
      <c r="P2" s="2" t="s">
        <v>93</v>
      </c>
      <c r="Q2" s="2" t="s">
        <v>88</v>
      </c>
      <c r="R2" s="2" t="s">
        <v>88</v>
      </c>
      <c r="S2" s="2" t="s">
        <v>93</v>
      </c>
      <c r="T2" s="2" t="s">
        <v>88</v>
      </c>
      <c r="U2" s="2" t="s">
        <v>93</v>
      </c>
    </row>
    <row r="3" spans="1:21" x14ac:dyDescent="0.2">
      <c r="A3" s="12" t="s">
        <v>87</v>
      </c>
      <c r="B3" s="12">
        <v>1</v>
      </c>
      <c r="C3" s="12">
        <v>3</v>
      </c>
      <c r="D3" s="12">
        <v>1</v>
      </c>
      <c r="E3" s="12">
        <v>3</v>
      </c>
      <c r="F3" s="12">
        <v>0</v>
      </c>
      <c r="G3" s="12">
        <v>5</v>
      </c>
      <c r="H3" s="12">
        <v>5</v>
      </c>
      <c r="I3" s="12">
        <v>1</v>
      </c>
      <c r="J3" s="12">
        <v>4</v>
      </c>
      <c r="K3" s="12">
        <v>1</v>
      </c>
      <c r="L3" s="12">
        <v>2</v>
      </c>
      <c r="M3" s="2">
        <v>16</v>
      </c>
      <c r="N3" s="2">
        <v>6</v>
      </c>
      <c r="O3" s="2">
        <v>4</v>
      </c>
      <c r="P3" s="2">
        <v>3</v>
      </c>
      <c r="Q3" s="2">
        <v>3</v>
      </c>
      <c r="R3" s="2">
        <v>0</v>
      </c>
      <c r="S3" s="2">
        <v>3</v>
      </c>
      <c r="T3" s="2">
        <v>0</v>
      </c>
      <c r="U3" s="2">
        <v>0</v>
      </c>
    </row>
    <row r="4" spans="1:21" x14ac:dyDescent="0.2">
      <c r="A4" s="12" t="s">
        <v>86</v>
      </c>
      <c r="B4" s="12">
        <v>1</v>
      </c>
      <c r="C4" s="12">
        <v>6</v>
      </c>
      <c r="D4" s="12">
        <v>3</v>
      </c>
      <c r="E4" s="12">
        <v>0</v>
      </c>
      <c r="F4" s="12">
        <v>5</v>
      </c>
      <c r="G4" s="12">
        <v>7</v>
      </c>
      <c r="H4" s="12">
        <v>7</v>
      </c>
      <c r="I4" s="12">
        <v>3</v>
      </c>
      <c r="J4" s="12">
        <v>4</v>
      </c>
      <c r="K4" s="12">
        <v>5</v>
      </c>
      <c r="L4" s="12">
        <v>3</v>
      </c>
      <c r="M4" s="2">
        <v>1</v>
      </c>
      <c r="N4" s="2">
        <v>5</v>
      </c>
      <c r="O4" s="2">
        <v>1</v>
      </c>
      <c r="P4" s="2">
        <v>1</v>
      </c>
      <c r="Q4" s="2">
        <v>5</v>
      </c>
      <c r="R4" s="2">
        <v>5</v>
      </c>
      <c r="S4" s="2">
        <v>6</v>
      </c>
      <c r="T4" s="2">
        <v>10</v>
      </c>
      <c r="U4" s="2">
        <v>4</v>
      </c>
    </row>
    <row r="5" spans="1:21" x14ac:dyDescent="0.2">
      <c r="A5" s="12" t="s">
        <v>85</v>
      </c>
      <c r="B5" s="12">
        <v>9</v>
      </c>
      <c r="C5" s="12">
        <v>11</v>
      </c>
      <c r="D5" s="12">
        <v>18</v>
      </c>
      <c r="E5" s="12">
        <v>6</v>
      </c>
      <c r="F5" s="12">
        <v>10</v>
      </c>
      <c r="G5" s="12">
        <v>11</v>
      </c>
      <c r="H5" s="12">
        <v>11</v>
      </c>
      <c r="I5" s="12">
        <v>21</v>
      </c>
      <c r="J5" s="12">
        <v>17</v>
      </c>
      <c r="K5" s="12">
        <v>6</v>
      </c>
      <c r="L5" s="12">
        <v>4</v>
      </c>
      <c r="M5" s="2">
        <v>16</v>
      </c>
      <c r="N5" s="2">
        <v>18</v>
      </c>
      <c r="O5" s="2">
        <v>5</v>
      </c>
      <c r="P5" s="2">
        <v>9</v>
      </c>
      <c r="Q5" s="2">
        <v>4</v>
      </c>
      <c r="R5" s="2">
        <v>2</v>
      </c>
      <c r="S5" s="2">
        <v>18</v>
      </c>
      <c r="T5" s="2">
        <v>13</v>
      </c>
      <c r="U5" s="2">
        <v>15</v>
      </c>
    </row>
    <row r="6" spans="1:21" x14ac:dyDescent="0.2">
      <c r="I6" s="19"/>
      <c r="J6" s="19"/>
    </row>
    <row r="7" spans="1:21" x14ac:dyDescent="0.2">
      <c r="I7" s="19"/>
      <c r="J7" s="19"/>
    </row>
    <row r="8" spans="1:21" x14ac:dyDescent="0.2">
      <c r="I8" s="19"/>
      <c r="J8" s="19"/>
    </row>
    <row r="9" spans="1:21" x14ac:dyDescent="0.2">
      <c r="I9" s="19"/>
      <c r="J9" s="19"/>
    </row>
    <row r="10" spans="1:21" x14ac:dyDescent="0.2">
      <c r="I10" s="19"/>
      <c r="J10" s="19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1121-B304-4F1F-86B1-1A246601B07A}">
  <sheetPr codeName="Sheet19">
    <outlinePr summaryBelow="0" summaryRight="0"/>
  </sheetPr>
  <dimension ref="A1:F10"/>
  <sheetViews>
    <sheetView workbookViewId="0">
      <selection activeCell="G20" sqref="G20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139</v>
      </c>
      <c r="C1" s="12" t="s">
        <v>139</v>
      </c>
      <c r="D1" s="12" t="s">
        <v>120</v>
      </c>
      <c r="E1" s="2" t="s">
        <v>139</v>
      </c>
      <c r="F1" s="2" t="s">
        <v>173</v>
      </c>
    </row>
    <row r="2" spans="1:6" x14ac:dyDescent="0.2">
      <c r="A2" s="12" t="s">
        <v>89</v>
      </c>
      <c r="B2" s="12" t="s">
        <v>93</v>
      </c>
      <c r="C2" s="12" t="s">
        <v>88</v>
      </c>
      <c r="D2" s="12" t="s">
        <v>88</v>
      </c>
      <c r="E2" s="2" t="s">
        <v>88</v>
      </c>
      <c r="F2" s="2" t="s">
        <v>88</v>
      </c>
    </row>
    <row r="3" spans="1:6" x14ac:dyDescent="0.2">
      <c r="A3" s="12" t="s">
        <v>87</v>
      </c>
      <c r="B3" s="12">
        <v>5</v>
      </c>
      <c r="C3" s="12">
        <v>0</v>
      </c>
      <c r="D3" s="12">
        <v>1</v>
      </c>
      <c r="E3" s="2">
        <v>4</v>
      </c>
      <c r="F3" s="2">
        <v>1</v>
      </c>
    </row>
    <row r="4" spans="1:6" x14ac:dyDescent="0.2">
      <c r="A4" s="12" t="s">
        <v>86</v>
      </c>
      <c r="B4" s="12">
        <v>4</v>
      </c>
      <c r="C4" s="12">
        <v>8</v>
      </c>
      <c r="D4" s="12">
        <v>8</v>
      </c>
      <c r="E4" s="2">
        <v>5</v>
      </c>
      <c r="F4" s="2">
        <v>5</v>
      </c>
    </row>
    <row r="5" spans="1:6" x14ac:dyDescent="0.2">
      <c r="A5" s="12" t="s">
        <v>85</v>
      </c>
      <c r="B5" s="12">
        <v>15</v>
      </c>
      <c r="C5" s="12">
        <v>5</v>
      </c>
      <c r="D5" s="12">
        <v>12</v>
      </c>
      <c r="E5" s="2">
        <v>10</v>
      </c>
      <c r="F5" s="2">
        <v>4</v>
      </c>
    </row>
    <row r="6" spans="1:6" x14ac:dyDescent="0.2">
      <c r="C6" s="19"/>
      <c r="D6" s="19"/>
    </row>
    <row r="7" spans="1:6" x14ac:dyDescent="0.2">
      <c r="C7" s="19"/>
      <c r="D7" s="19"/>
    </row>
    <row r="8" spans="1:6" x14ac:dyDescent="0.2">
      <c r="C8" s="19"/>
      <c r="D8" s="19"/>
    </row>
    <row r="9" spans="1:6" x14ac:dyDescent="0.2">
      <c r="C9" s="19"/>
      <c r="D9" s="19"/>
    </row>
    <row r="10" spans="1:6" x14ac:dyDescent="0.2">
      <c r="C10" s="19"/>
      <c r="D10" s="19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83E6-BE52-42F6-B389-FB89DFED22C0}">
  <sheetPr codeName="Sheet20">
    <outlinePr summaryBelow="0" summaryRight="0"/>
  </sheetPr>
  <dimension ref="A1:U10"/>
  <sheetViews>
    <sheetView topLeftCell="D1" workbookViewId="0">
      <selection activeCell="T6" sqref="T6"/>
    </sheetView>
  </sheetViews>
  <sheetFormatPr defaultColWidth="14.42578125" defaultRowHeight="15.75" customHeight="1" x14ac:dyDescent="0.2"/>
  <cols>
    <col min="1" max="16384" width="14.42578125" style="2"/>
  </cols>
  <sheetData>
    <row r="1" spans="1:21" x14ac:dyDescent="0.2">
      <c r="A1" s="12" t="s">
        <v>44</v>
      </c>
      <c r="B1" s="12" t="s">
        <v>142</v>
      </c>
      <c r="C1" s="12" t="s">
        <v>142</v>
      </c>
      <c r="D1" s="12" t="s">
        <v>142</v>
      </c>
      <c r="E1" s="12" t="s">
        <v>142</v>
      </c>
      <c r="F1" s="12" t="s">
        <v>105</v>
      </c>
      <c r="G1" s="12" t="s">
        <v>105</v>
      </c>
      <c r="H1" s="12" t="s">
        <v>141</v>
      </c>
      <c r="I1" s="12" t="s">
        <v>140</v>
      </c>
      <c r="J1" s="12" t="s">
        <v>113</v>
      </c>
      <c r="K1" s="12" t="s">
        <v>140</v>
      </c>
      <c r="L1" s="12" t="s">
        <v>140</v>
      </c>
      <c r="M1" s="2" t="s">
        <v>140</v>
      </c>
      <c r="N1" s="2" t="s">
        <v>159</v>
      </c>
      <c r="O1" s="2" t="s">
        <v>113</v>
      </c>
      <c r="P1" s="2" t="s">
        <v>166</v>
      </c>
      <c r="Q1" s="2" t="s">
        <v>159</v>
      </c>
      <c r="R1" s="2" t="s">
        <v>159</v>
      </c>
      <c r="S1" s="2" t="s">
        <v>159</v>
      </c>
      <c r="T1" s="2" t="s">
        <v>141</v>
      </c>
      <c r="U1" s="2" t="s">
        <v>113</v>
      </c>
    </row>
    <row r="2" spans="1:21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93</v>
      </c>
      <c r="G2" s="12" t="s">
        <v>93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88</v>
      </c>
      <c r="P2" s="2" t="s">
        <v>88</v>
      </c>
      <c r="Q2" s="2" t="s">
        <v>93</v>
      </c>
      <c r="R2" s="2" t="s">
        <v>93</v>
      </c>
      <c r="S2" s="2" t="s">
        <v>93</v>
      </c>
      <c r="T2" s="2" t="s">
        <v>88</v>
      </c>
      <c r="U2" s="2" t="s">
        <v>93</v>
      </c>
    </row>
    <row r="3" spans="1:21" x14ac:dyDescent="0.2">
      <c r="A3" s="12" t="s">
        <v>87</v>
      </c>
      <c r="B3" s="12">
        <v>2</v>
      </c>
      <c r="C3" s="12">
        <v>5</v>
      </c>
      <c r="D3" s="12">
        <v>8</v>
      </c>
      <c r="E3" s="12">
        <v>1</v>
      </c>
      <c r="F3" s="12">
        <v>10</v>
      </c>
      <c r="G3" s="12">
        <v>4</v>
      </c>
      <c r="H3" s="12">
        <v>1</v>
      </c>
      <c r="I3" s="12">
        <v>1</v>
      </c>
      <c r="J3" s="12">
        <v>9</v>
      </c>
      <c r="K3" s="12">
        <v>0</v>
      </c>
      <c r="L3" s="12">
        <v>3</v>
      </c>
      <c r="M3" s="2">
        <v>3</v>
      </c>
      <c r="N3" s="2">
        <v>18</v>
      </c>
      <c r="O3" s="2">
        <v>3</v>
      </c>
      <c r="P3" s="2">
        <v>4</v>
      </c>
      <c r="Q3" s="2">
        <v>9</v>
      </c>
      <c r="R3" s="2">
        <v>3</v>
      </c>
      <c r="S3" s="2">
        <v>4</v>
      </c>
      <c r="T3" s="2">
        <v>1</v>
      </c>
      <c r="U3" s="2">
        <v>5</v>
      </c>
    </row>
    <row r="4" spans="1:21" x14ac:dyDescent="0.2">
      <c r="A4" s="12" t="s">
        <v>86</v>
      </c>
      <c r="B4" s="12">
        <v>3</v>
      </c>
      <c r="C4" s="12">
        <v>9</v>
      </c>
      <c r="D4" s="12">
        <v>1</v>
      </c>
      <c r="E4" s="12">
        <v>1</v>
      </c>
      <c r="F4" s="12">
        <v>1</v>
      </c>
      <c r="G4" s="12">
        <v>4</v>
      </c>
      <c r="H4" s="12">
        <v>5</v>
      </c>
      <c r="I4" s="12">
        <v>2</v>
      </c>
      <c r="J4" s="12">
        <v>2</v>
      </c>
      <c r="K4" s="12">
        <v>5</v>
      </c>
      <c r="L4" s="12">
        <v>4</v>
      </c>
      <c r="M4" s="2">
        <v>2</v>
      </c>
      <c r="N4" s="2">
        <v>1</v>
      </c>
      <c r="O4" s="2">
        <v>6</v>
      </c>
      <c r="P4" s="2">
        <v>6</v>
      </c>
      <c r="Q4" s="2">
        <v>6</v>
      </c>
      <c r="R4" s="2">
        <v>1</v>
      </c>
      <c r="S4" s="2">
        <v>6</v>
      </c>
      <c r="T4" s="2">
        <v>4</v>
      </c>
      <c r="U4" s="2">
        <v>3</v>
      </c>
    </row>
    <row r="5" spans="1:21" x14ac:dyDescent="0.2">
      <c r="A5" s="12" t="s">
        <v>85</v>
      </c>
      <c r="B5" s="12">
        <v>4</v>
      </c>
      <c r="C5" s="12">
        <v>12</v>
      </c>
      <c r="D5" s="12">
        <v>7</v>
      </c>
      <c r="E5" s="12">
        <v>3</v>
      </c>
      <c r="F5" s="12">
        <v>10</v>
      </c>
      <c r="G5" s="12">
        <v>11</v>
      </c>
      <c r="H5" s="12">
        <v>11</v>
      </c>
      <c r="I5" s="12">
        <v>17</v>
      </c>
      <c r="J5" s="12">
        <v>7</v>
      </c>
      <c r="K5" s="12">
        <v>3</v>
      </c>
      <c r="L5" s="12">
        <v>4</v>
      </c>
      <c r="M5" s="2">
        <v>15</v>
      </c>
      <c r="N5" s="2">
        <v>10</v>
      </c>
      <c r="O5" s="2">
        <v>4</v>
      </c>
      <c r="P5" s="2">
        <v>4</v>
      </c>
      <c r="Q5" s="2">
        <v>10</v>
      </c>
      <c r="R5" s="2">
        <v>8</v>
      </c>
      <c r="S5" s="2">
        <v>11</v>
      </c>
      <c r="T5" s="2">
        <v>9</v>
      </c>
      <c r="U5" s="2">
        <v>12</v>
      </c>
    </row>
    <row r="6" spans="1:21" x14ac:dyDescent="0.2">
      <c r="I6" s="19"/>
      <c r="J6" s="19"/>
    </row>
    <row r="7" spans="1:21" x14ac:dyDescent="0.2">
      <c r="I7" s="19"/>
      <c r="J7" s="19"/>
    </row>
    <row r="8" spans="1:21" x14ac:dyDescent="0.2">
      <c r="I8" s="19"/>
      <c r="J8" s="19"/>
    </row>
    <row r="9" spans="1:21" x14ac:dyDescent="0.2">
      <c r="I9" s="19"/>
      <c r="J9" s="19"/>
    </row>
    <row r="10" spans="1:21" x14ac:dyDescent="0.2">
      <c r="I10" s="19"/>
      <c r="J10" s="1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CF24D-669A-4AE6-8076-86D785CAF266}">
  <sheetPr codeName="Sheet28">
    <outlinePr summaryBelow="0" summaryRight="0"/>
  </sheetPr>
  <dimension ref="A1:R10"/>
  <sheetViews>
    <sheetView workbookViewId="0">
      <selection activeCell="B1" sqref="B1:M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F51-EB52-4D58-BDE4-3229AD6BC624}">
  <sheetPr codeName="Sheet21">
    <outlinePr summaryBelow="0" summaryRight="0"/>
  </sheetPr>
  <dimension ref="A1:I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145</v>
      </c>
      <c r="C1" s="12" t="s">
        <v>144</v>
      </c>
      <c r="D1" s="12" t="s">
        <v>129</v>
      </c>
      <c r="E1" s="12" t="s">
        <v>144</v>
      </c>
      <c r="F1" s="12" t="s">
        <v>129</v>
      </c>
      <c r="G1" s="12" t="s">
        <v>143</v>
      </c>
      <c r="H1" s="12" t="s">
        <v>141</v>
      </c>
      <c r="I1" s="12" t="s">
        <v>141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93</v>
      </c>
    </row>
    <row r="3" spans="1:9" x14ac:dyDescent="0.2">
      <c r="A3" s="12" t="s">
        <v>87</v>
      </c>
      <c r="B3" s="12">
        <v>7</v>
      </c>
      <c r="C3" s="12">
        <v>17</v>
      </c>
      <c r="D3" s="12">
        <v>0</v>
      </c>
      <c r="E3" s="12">
        <v>1</v>
      </c>
      <c r="F3" s="12">
        <v>7</v>
      </c>
      <c r="G3" s="12">
        <v>8</v>
      </c>
      <c r="H3" s="12">
        <v>9</v>
      </c>
      <c r="I3" s="12">
        <v>4</v>
      </c>
    </row>
    <row r="4" spans="1:9" x14ac:dyDescent="0.2">
      <c r="A4" s="12" t="s">
        <v>86</v>
      </c>
      <c r="B4" s="12">
        <v>5</v>
      </c>
      <c r="C4" s="12">
        <v>8</v>
      </c>
      <c r="D4" s="12">
        <v>9</v>
      </c>
      <c r="E4" s="12">
        <v>4</v>
      </c>
      <c r="F4" s="12">
        <v>6</v>
      </c>
      <c r="G4" s="12">
        <v>6</v>
      </c>
      <c r="H4" s="12">
        <v>2</v>
      </c>
      <c r="I4" s="12">
        <v>4</v>
      </c>
    </row>
    <row r="5" spans="1:9" x14ac:dyDescent="0.2">
      <c r="A5" s="12" t="s">
        <v>85</v>
      </c>
      <c r="B5" s="12">
        <v>5</v>
      </c>
      <c r="C5" s="12">
        <v>11</v>
      </c>
      <c r="D5" s="12">
        <v>6</v>
      </c>
      <c r="E5" s="12">
        <v>0</v>
      </c>
      <c r="F5" s="12">
        <v>4</v>
      </c>
      <c r="G5" s="12">
        <v>8</v>
      </c>
      <c r="H5" s="12">
        <v>7</v>
      </c>
      <c r="I5" s="17">
        <v>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1A70-F12F-4463-992A-925EC1ED92A9}">
  <sheetPr codeName="Sheet22">
    <outlinePr summaryBelow="0" summaryRight="0"/>
  </sheetPr>
  <dimension ref="A1:O10"/>
  <sheetViews>
    <sheetView workbookViewId="0">
      <selection activeCell="O6" sqref="O6"/>
    </sheetView>
  </sheetViews>
  <sheetFormatPr defaultColWidth="14.42578125" defaultRowHeight="15.75" customHeight="1" x14ac:dyDescent="0.2"/>
  <cols>
    <col min="1" max="16384" width="14.42578125" style="2"/>
  </cols>
  <sheetData>
    <row r="1" spans="1:15" x14ac:dyDescent="0.2">
      <c r="A1" s="12" t="s">
        <v>44</v>
      </c>
      <c r="B1" s="12" t="s">
        <v>148</v>
      </c>
      <c r="C1" s="12" t="s">
        <v>147</v>
      </c>
      <c r="D1" s="12" t="s">
        <v>109</v>
      </c>
      <c r="E1" s="12" t="s">
        <v>146</v>
      </c>
      <c r="F1" s="12" t="s">
        <v>107</v>
      </c>
      <c r="G1" s="12" t="s">
        <v>147</v>
      </c>
      <c r="H1" s="12" t="s">
        <v>146</v>
      </c>
      <c r="I1" s="2" t="s">
        <v>109</v>
      </c>
      <c r="J1" s="2" t="s">
        <v>109</v>
      </c>
      <c r="K1" s="2" t="s">
        <v>109</v>
      </c>
      <c r="L1" s="2" t="s">
        <v>109</v>
      </c>
      <c r="M1" s="2" t="s">
        <v>189</v>
      </c>
      <c r="N1" s="2" t="s">
        <v>169</v>
      </c>
      <c r="O1" s="2" t="s">
        <v>169</v>
      </c>
    </row>
    <row r="2" spans="1:15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88</v>
      </c>
      <c r="F2" s="12" t="s">
        <v>88</v>
      </c>
      <c r="G2" s="12" t="s">
        <v>88</v>
      </c>
      <c r="H2" s="12" t="s">
        <v>88</v>
      </c>
      <c r="I2" s="2" t="s">
        <v>93</v>
      </c>
      <c r="J2" s="2" t="s">
        <v>93</v>
      </c>
      <c r="K2" s="2" t="s">
        <v>93</v>
      </c>
      <c r="L2" s="2" t="s">
        <v>93</v>
      </c>
      <c r="M2" s="2" t="s">
        <v>88</v>
      </c>
      <c r="N2" s="2" t="s">
        <v>93</v>
      </c>
      <c r="O2" s="2" t="s">
        <v>88</v>
      </c>
    </row>
    <row r="3" spans="1:15" x14ac:dyDescent="0.2">
      <c r="A3" s="12" t="s">
        <v>87</v>
      </c>
      <c r="B3" s="12">
        <v>3</v>
      </c>
      <c r="C3" s="12">
        <v>9</v>
      </c>
      <c r="D3" s="12">
        <v>10</v>
      </c>
      <c r="E3" s="12">
        <v>9</v>
      </c>
      <c r="F3" s="12">
        <v>4</v>
      </c>
      <c r="G3" s="12">
        <v>4</v>
      </c>
      <c r="H3" s="12">
        <v>11</v>
      </c>
      <c r="I3" s="2">
        <v>4</v>
      </c>
      <c r="J3" s="2">
        <v>11</v>
      </c>
      <c r="K3" s="2">
        <v>4</v>
      </c>
      <c r="L3" s="2">
        <v>1</v>
      </c>
      <c r="M3" s="2">
        <v>4</v>
      </c>
      <c r="N3" s="2">
        <v>6</v>
      </c>
      <c r="O3" s="2">
        <v>2</v>
      </c>
    </row>
    <row r="4" spans="1:15" x14ac:dyDescent="0.2">
      <c r="A4" s="12" t="s">
        <v>86</v>
      </c>
      <c r="B4" s="12">
        <v>6</v>
      </c>
      <c r="C4" s="12">
        <v>8</v>
      </c>
      <c r="D4" s="12">
        <v>6</v>
      </c>
      <c r="E4" s="12">
        <v>9</v>
      </c>
      <c r="F4" s="12">
        <v>6</v>
      </c>
      <c r="G4" s="12">
        <v>10</v>
      </c>
      <c r="H4" s="12">
        <v>2</v>
      </c>
      <c r="I4" s="2">
        <v>1</v>
      </c>
      <c r="J4" s="2">
        <v>4</v>
      </c>
      <c r="K4" s="2">
        <v>0</v>
      </c>
      <c r="L4" s="2">
        <v>2</v>
      </c>
      <c r="M4" s="2">
        <v>6</v>
      </c>
      <c r="N4" s="2">
        <v>4</v>
      </c>
      <c r="O4" s="2">
        <v>4</v>
      </c>
    </row>
    <row r="5" spans="1:15" x14ac:dyDescent="0.2">
      <c r="A5" s="12" t="s">
        <v>85</v>
      </c>
      <c r="B5" s="12">
        <v>2</v>
      </c>
      <c r="C5" s="12">
        <v>11</v>
      </c>
      <c r="D5" s="12">
        <v>14</v>
      </c>
      <c r="E5" s="12">
        <v>4</v>
      </c>
      <c r="F5" s="12">
        <v>8</v>
      </c>
      <c r="G5" s="12">
        <v>5</v>
      </c>
      <c r="H5" s="12">
        <v>5</v>
      </c>
      <c r="I5" s="2">
        <v>17</v>
      </c>
      <c r="J5" s="2">
        <v>17</v>
      </c>
      <c r="K5" s="2">
        <v>7</v>
      </c>
      <c r="L5" s="2">
        <v>10</v>
      </c>
      <c r="M5" s="2">
        <v>12</v>
      </c>
      <c r="N5" s="2">
        <v>18</v>
      </c>
      <c r="O5" s="2">
        <v>10</v>
      </c>
    </row>
    <row r="6" spans="1:15" x14ac:dyDescent="0.2">
      <c r="E6" s="19"/>
      <c r="F6" s="19"/>
    </row>
    <row r="7" spans="1:15" x14ac:dyDescent="0.2">
      <c r="E7" s="19"/>
      <c r="F7" s="19"/>
    </row>
    <row r="8" spans="1:15" x14ac:dyDescent="0.2">
      <c r="E8" s="19"/>
      <c r="F8" s="19"/>
    </row>
    <row r="9" spans="1:15" x14ac:dyDescent="0.2">
      <c r="E9" s="19"/>
      <c r="F9" s="19"/>
    </row>
    <row r="10" spans="1:15" x14ac:dyDescent="0.2">
      <c r="E10" s="19"/>
      <c r="F1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Draft</vt:lpstr>
      <vt:lpstr>Data</vt:lpstr>
      <vt:lpstr>model data tables</vt:lpstr>
      <vt:lpstr>Blake</vt:lpstr>
      <vt:lpstr>Brendan</vt:lpstr>
      <vt:lpstr>Dan</vt:lpstr>
      <vt:lpstr>Darius</vt:lpstr>
      <vt:lpstr>David</vt:lpstr>
      <vt:lpstr>Dean</vt:lpstr>
      <vt:lpstr>ErikO</vt:lpstr>
      <vt:lpstr>ErikY</vt:lpstr>
      <vt:lpstr>Fabian</vt:lpstr>
      <vt:lpstr>Gabby</vt:lpstr>
      <vt:lpstr>Garrett</vt:lpstr>
      <vt:lpstr>Ian</vt:lpstr>
      <vt:lpstr>Iris</vt:lpstr>
      <vt:lpstr>Jar</vt:lpstr>
      <vt:lpstr>Manny</vt:lpstr>
      <vt:lpstr>Miles</vt:lpstr>
      <vt:lpstr>Mimi</vt:lpstr>
      <vt:lpstr>Peter</vt:lpstr>
      <vt:lpstr>PsychoCarrot</vt:lpstr>
      <vt:lpstr>Rhys</vt:lpstr>
      <vt:lpstr>Sam</vt:lpstr>
      <vt:lpstr>Sean</vt:lpstr>
      <vt:lpstr>Stanley</vt:lpstr>
      <vt:lpstr>Steven</vt:lpstr>
      <vt:lpstr>Vernon</vt:lpstr>
      <vt:lpstr>Zach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</dc:creator>
  <cp:lastModifiedBy>Dean</cp:lastModifiedBy>
  <dcterms:created xsi:type="dcterms:W3CDTF">2020-11-25T23:30:16Z</dcterms:created>
  <dcterms:modified xsi:type="dcterms:W3CDTF">2021-03-02T19:17:09Z</dcterms:modified>
</cp:coreProperties>
</file>