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\scrims\"/>
    </mc:Choice>
  </mc:AlternateContent>
  <xr:revisionPtr revIDLastSave="0" documentId="13_ncr:1_{8D040E8A-AFB3-41F0-B5F4-02BF183C4011}" xr6:coauthVersionLast="45" xr6:coauthVersionMax="45" xr10:uidLastSave="{00000000-0000-0000-0000-000000000000}"/>
  <bookViews>
    <workbookView xWindow="-120" yWindow="-120" windowWidth="29040" windowHeight="16440" xr2:uid="{2607136A-4400-4BDD-BD2A-31E7022E7A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1" l="1"/>
  <c r="H12" i="1"/>
  <c r="H11" i="1"/>
  <c r="H10" i="1"/>
  <c r="H9" i="1"/>
  <c r="K13" i="1"/>
  <c r="K12" i="1"/>
  <c r="K11" i="1"/>
  <c r="K10" i="1"/>
  <c r="K9" i="1"/>
  <c r="K6" i="1"/>
  <c r="K5" i="1"/>
  <c r="K4" i="1"/>
  <c r="K3" i="1"/>
  <c r="K2" i="1"/>
  <c r="H3" i="1"/>
  <c r="H4" i="1"/>
  <c r="H5" i="1"/>
  <c r="H6" i="1"/>
  <c r="H2" i="1"/>
  <c r="B11" i="1"/>
  <c r="K1" i="1" l="1"/>
  <c r="H1" i="1" l="1"/>
  <c r="H7" i="1" s="1"/>
  <c r="I10" i="1"/>
  <c r="I11" i="1"/>
  <c r="I12" i="1"/>
  <c r="I9" i="1"/>
  <c r="I13" i="1"/>
  <c r="K7" i="1"/>
  <c r="I16" i="1" l="1"/>
</calcChain>
</file>

<file path=xl/sharedStrings.xml><?xml version="1.0" encoding="utf-8"?>
<sst xmlns="http://schemas.openxmlformats.org/spreadsheetml/2006/main" count="42" uniqueCount="22">
  <si>
    <t>sam</t>
  </si>
  <si>
    <t>zach</t>
  </si>
  <si>
    <t>stanley</t>
  </si>
  <si>
    <t>peter</t>
  </si>
  <si>
    <t>dean</t>
  </si>
  <si>
    <t>miles</t>
  </si>
  <si>
    <t>Team 1</t>
  </si>
  <si>
    <t>Player 1</t>
  </si>
  <si>
    <t>Player 2</t>
  </si>
  <si>
    <t>Player 3</t>
  </si>
  <si>
    <t>Player 4</t>
  </si>
  <si>
    <t>Player 5</t>
  </si>
  <si>
    <t>Team 2</t>
  </si>
  <si>
    <t>erik</t>
  </si>
  <si>
    <t>manny</t>
  </si>
  <si>
    <t>Top</t>
  </si>
  <si>
    <t>Jungle</t>
  </si>
  <si>
    <t>Mid</t>
  </si>
  <si>
    <t>Adc</t>
  </si>
  <si>
    <t>Support</t>
  </si>
  <si>
    <t>ian</t>
  </si>
  <si>
    <t>sean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</si>
</sst>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9A8C6-BD46-47D2-B7E6-12CE527F4C35}">
  <dimension ref="A1:K16"/>
  <sheetViews>
    <sheetView tabSelected="1" workbookViewId="0">
      <selection activeCell="G16" sqref="G16"/>
    </sheetView>
  </sheetViews>
  <sheetFormatPr defaultRowHeight="15" x14ac:dyDescent="0.25"/>
  <sheetData>
    <row r="1" spans="1:11" x14ac:dyDescent="0.25">
      <c r="A1" t="s">
        <v>0</v>
      </c>
      <c r="B1">
        <v>21</v>
      </c>
      <c r="G1" t="s">
        <v>6</v>
      </c>
      <c r="H1">
        <f>_xlfn.CEILING.MATH($B$11/2)</f>
        <v>66</v>
      </c>
      <c r="J1" t="s">
        <v>12</v>
      </c>
      <c r="K1">
        <f>_xlfn.CEILING.MATH($B$11/2)</f>
        <v>66</v>
      </c>
    </row>
    <row r="2" spans="1:11" x14ac:dyDescent="0.25">
      <c r="A2" t="s">
        <v>1</v>
      </c>
      <c r="B2">
        <v>16</v>
      </c>
      <c r="E2" t="s">
        <v>7</v>
      </c>
      <c r="G2" t="s">
        <v>2</v>
      </c>
      <c r="H2">
        <f>IF(ISERROR(VLOOKUP(G2,$A$1:$B$10,2, FALSE)),0,VLOOKUP(G2,$A$1:$B$10,2, FALSE) )</f>
        <v>14</v>
      </c>
      <c r="J2" t="s">
        <v>3</v>
      </c>
      <c r="K2">
        <f>IF(ISERROR(VLOOKUP(J2,$A$1:$B$10,2, FALSE)),0,VLOOKUP(J2,$A$1:$B$10,2, FALSE) )</f>
        <v>13</v>
      </c>
    </row>
    <row r="3" spans="1:11" x14ac:dyDescent="0.25">
      <c r="A3" t="s">
        <v>2</v>
      </c>
      <c r="B3">
        <v>14</v>
      </c>
      <c r="E3" t="s">
        <v>8</v>
      </c>
      <c r="G3" t="s">
        <v>5</v>
      </c>
      <c r="H3">
        <f t="shared" ref="H3:H6" si="0">IF(ISERROR(VLOOKUP(G3,$A$1:$B$10,2, FALSE)),0,VLOOKUP(G3,$A$1:$B$10,2, FALSE) )</f>
        <v>12</v>
      </c>
      <c r="J3" t="s">
        <v>4</v>
      </c>
      <c r="K3">
        <f t="shared" ref="K3:K6" si="1">IF(ISERROR(VLOOKUP(J3,$A$1:$B$10,2, FALSE)),0,VLOOKUP(J3,$A$1:$B$10,2, FALSE) )</f>
        <v>13</v>
      </c>
    </row>
    <row r="4" spans="1:11" x14ac:dyDescent="0.25">
      <c r="A4" t="s">
        <v>3</v>
      </c>
      <c r="B4">
        <v>13</v>
      </c>
      <c r="E4" t="s">
        <v>9</v>
      </c>
      <c r="G4" t="s">
        <v>14</v>
      </c>
      <c r="H4">
        <f t="shared" si="0"/>
        <v>9</v>
      </c>
      <c r="J4" t="s">
        <v>20</v>
      </c>
      <c r="K4">
        <f t="shared" si="1"/>
        <v>10</v>
      </c>
    </row>
    <row r="5" spans="1:11" x14ac:dyDescent="0.25">
      <c r="A5" t="s">
        <v>4</v>
      </c>
      <c r="B5">
        <v>13</v>
      </c>
      <c r="E5" t="s">
        <v>10</v>
      </c>
      <c r="G5" t="s">
        <v>21</v>
      </c>
      <c r="H5">
        <f t="shared" si="0"/>
        <v>12</v>
      </c>
      <c r="J5" t="s">
        <v>13</v>
      </c>
      <c r="K5">
        <f t="shared" si="1"/>
        <v>12</v>
      </c>
    </row>
    <row r="6" spans="1:11" x14ac:dyDescent="0.25">
      <c r="A6" t="s">
        <v>5</v>
      </c>
      <c r="B6">
        <v>12</v>
      </c>
      <c r="E6" t="s">
        <v>11</v>
      </c>
      <c r="G6" t="s">
        <v>1</v>
      </c>
      <c r="H6">
        <f t="shared" si="0"/>
        <v>16</v>
      </c>
      <c r="J6" t="s">
        <v>0</v>
      </c>
      <c r="K6">
        <f t="shared" si="1"/>
        <v>21</v>
      </c>
    </row>
    <row r="7" spans="1:11" x14ac:dyDescent="0.25">
      <c r="A7" t="s">
        <v>13</v>
      </c>
      <c r="B7">
        <v>12</v>
      </c>
      <c r="H7">
        <f>H1-SUM(H2:H6)</f>
        <v>3</v>
      </c>
      <c r="K7">
        <f>K1-SUM(K2:K6)</f>
        <v>-3</v>
      </c>
    </row>
    <row r="8" spans="1:11" x14ac:dyDescent="0.25">
      <c r="A8" t="s">
        <v>21</v>
      </c>
      <c r="B8">
        <v>12</v>
      </c>
    </row>
    <row r="9" spans="1:11" x14ac:dyDescent="0.25">
      <c r="A9" t="s">
        <v>20</v>
      </c>
      <c r="B9">
        <v>10</v>
      </c>
      <c r="E9" t="s">
        <v>15</v>
      </c>
      <c r="G9" t="s">
        <v>14</v>
      </c>
      <c r="H9">
        <f>IF(ISERROR(VLOOKUP(G9,$A$1:$B$10,2, FALSE)),0,VLOOKUP(G9,$A$1:$B$10,2, FALSE) )</f>
        <v>9</v>
      </c>
      <c r="I9">
        <f>H9-K9</f>
        <v>-4</v>
      </c>
      <c r="J9" t="s">
        <v>4</v>
      </c>
      <c r="K9">
        <f>IF(ISERROR(VLOOKUP(J9,$A$1:$B$10,2, FALSE)),0,VLOOKUP(J9,$A$1:$B$10,2, FALSE) )</f>
        <v>13</v>
      </c>
    </row>
    <row r="10" spans="1:11" x14ac:dyDescent="0.25">
      <c r="A10" t="s">
        <v>14</v>
      </c>
      <c r="B10">
        <v>9</v>
      </c>
      <c r="E10" t="s">
        <v>16</v>
      </c>
      <c r="G10" t="s">
        <v>5</v>
      </c>
      <c r="H10">
        <f t="shared" ref="H10:H13" si="2">IF(ISERROR(VLOOKUP(G10,$A$1:$B$10,2, FALSE)),0,VLOOKUP(G10,$A$1:$B$10,2, FALSE) )</f>
        <v>12</v>
      </c>
      <c r="I10">
        <f t="shared" ref="I10:I13" si="3">H10-K10</f>
        <v>2</v>
      </c>
      <c r="J10" t="s">
        <v>20</v>
      </c>
      <c r="K10">
        <f t="shared" ref="K10:K13" si="4">IF(ISERROR(VLOOKUP(J10,$A$1:$B$10,2, FALSE)),0,VLOOKUP(J10,$A$1:$B$10,2, FALSE) )</f>
        <v>10</v>
      </c>
    </row>
    <row r="11" spans="1:11" x14ac:dyDescent="0.25">
      <c r="B11">
        <f>SUM(B1:B10)</f>
        <v>132</v>
      </c>
      <c r="E11" t="s">
        <v>17</v>
      </c>
      <c r="G11" t="s">
        <v>2</v>
      </c>
      <c r="H11">
        <f t="shared" si="2"/>
        <v>14</v>
      </c>
      <c r="I11">
        <f t="shared" si="3"/>
        <v>1</v>
      </c>
      <c r="J11" t="s">
        <v>3</v>
      </c>
      <c r="K11">
        <f t="shared" si="4"/>
        <v>13</v>
      </c>
    </row>
    <row r="12" spans="1:11" x14ac:dyDescent="0.25">
      <c r="E12" t="s">
        <v>18</v>
      </c>
      <c r="G12" t="s">
        <v>1</v>
      </c>
      <c r="H12">
        <f t="shared" si="2"/>
        <v>16</v>
      </c>
      <c r="I12">
        <f t="shared" si="3"/>
        <v>4</v>
      </c>
      <c r="J12" t="s">
        <v>13</v>
      </c>
      <c r="K12">
        <f t="shared" si="4"/>
        <v>12</v>
      </c>
    </row>
    <row r="13" spans="1:11" x14ac:dyDescent="0.25">
      <c r="E13" t="s">
        <v>19</v>
      </c>
      <c r="G13" t="s">
        <v>21</v>
      </c>
      <c r="H13">
        <f t="shared" si="2"/>
        <v>12</v>
      </c>
      <c r="I13">
        <f t="shared" si="3"/>
        <v>-9</v>
      </c>
      <c r="J13" t="s">
        <v>0</v>
      </c>
      <c r="K13">
        <f t="shared" si="4"/>
        <v>21</v>
      </c>
    </row>
    <row r="16" spans="1:11" x14ac:dyDescent="0.25">
      <c r="I16">
        <f>SUM(I9:I13)</f>
        <v>-6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</dc:creator>
  <cp:lastModifiedBy>Dean</cp:lastModifiedBy>
  <dcterms:created xsi:type="dcterms:W3CDTF">2020-11-25T23:30:16Z</dcterms:created>
  <dcterms:modified xsi:type="dcterms:W3CDTF">2020-11-27T03:17:33Z</dcterms:modified>
</cp:coreProperties>
</file>